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726" codeName="{F2B83AC3-3A92-4FF1-8D57-CA5CB3A19BB1}"/>
  <workbookPr codeName="ThisWorkbook" autoCompressPictures="0"/>
  <mc:AlternateContent xmlns:mc="http://schemas.openxmlformats.org/markup-compatibility/2006">
    <mc:Choice Requires="x15">
      <x15ac:absPath xmlns:x15ac="http://schemas.microsoft.com/office/spreadsheetml/2010/11/ac" url="C:\Users\mot189\Documents\"/>
    </mc:Choice>
  </mc:AlternateContent>
  <bookViews>
    <workbookView xWindow="0" yWindow="1140" windowWidth="28800" windowHeight="12180"/>
  </bookViews>
  <sheets>
    <sheet name="Connection Details" sheetId="10" r:id="rId1"/>
    <sheet name="Example FMF" sheetId="15" r:id="rId2"/>
    <sheet name="Naming Standard" sheetId="7" r:id="rId3"/>
    <sheet name="Firewall Council CO Guidelines" sheetId="8" r:id="rId4"/>
    <sheet name="CD Definitions" sheetId="3" r:id="rId5"/>
    <sheet name="General" sheetId="1" r:id="rId6"/>
    <sheet name="tufin-export" sheetId="16" r:id="rId7"/>
    <sheet name="calc_sheet" sheetId="17" r:id="rId8"/>
  </sheets>
  <functionGroups builtInGroupCount="18"/>
  <definedNames>
    <definedName name="CMAITEMS">'CD Definitions'!$F$2:$F$12</definedName>
    <definedName name="Def">'CD Definitions'!$A$2:$A$18</definedName>
    <definedName name="_xlnm.Print_Area" localSheetId="5">General!$A$1:$K$11</definedName>
  </definedNames>
  <calcPr calcId="171027"/>
</workbook>
</file>

<file path=xl/calcChain.xml><?xml version="1.0" encoding="utf-8"?>
<calcChain xmlns="http://schemas.openxmlformats.org/spreadsheetml/2006/main">
  <c r="Y12" i="10" l="1"/>
  <c r="Y11" i="10"/>
  <c r="Y29" i="15" l="1"/>
  <c r="Y28" i="15"/>
  <c r="Y27" i="15"/>
  <c r="Y26" i="15"/>
  <c r="Y25" i="15"/>
  <c r="Y24" i="15"/>
  <c r="Y23" i="15"/>
  <c r="Y22" i="15"/>
  <c r="Y21" i="15"/>
  <c r="Y20" i="15"/>
  <c r="Y19" i="15"/>
  <c r="Y18" i="15"/>
  <c r="Y17" i="15"/>
  <c r="Y16" i="15"/>
  <c r="Y15" i="15"/>
  <c r="Y14" i="15"/>
  <c r="Y13" i="15"/>
  <c r="Y12" i="15"/>
  <c r="Y27" i="10" l="1"/>
  <c r="Y26" i="10"/>
  <c r="Y25" i="10"/>
  <c r="Y24" i="10"/>
  <c r="Y23" i="10"/>
  <c r="Y22" i="10"/>
  <c r="Y21" i="10"/>
  <c r="Y20" i="10"/>
  <c r="Y19" i="10"/>
  <c r="Y18" i="10"/>
  <c r="Y17" i="10"/>
  <c r="Y16" i="10"/>
  <c r="Y15" i="10"/>
  <c r="Y14" i="10"/>
  <c r="Y13" i="10"/>
  <c r="Y10" i="10"/>
</calcChain>
</file>

<file path=xl/comments1.xml><?xml version="1.0" encoding="utf-8"?>
<comments xmlns="http://schemas.openxmlformats.org/spreadsheetml/2006/main">
  <authors>
    <author>Glen Wilson</author>
    <author>oid153</author>
    <author>Windows User</author>
  </authors>
  <commentList>
    <comment ref="A1" authorId="0" shapeId="0">
      <text>
        <r>
          <rPr>
            <b/>
            <sz val="8"/>
            <color indexed="81"/>
            <rFont val="Tahoma"/>
            <family val="2"/>
          </rPr>
          <t xml:space="preserve">Required for Rule Comment Field - </t>
        </r>
        <r>
          <rPr>
            <sz val="8"/>
            <color indexed="81"/>
            <rFont val="Tahoma"/>
            <family val="2"/>
          </rPr>
          <t>Cap One Project or Story Number.</t>
        </r>
      </text>
    </comment>
    <comment ref="B1" authorId="0" shapeId="0">
      <text>
        <r>
          <rPr>
            <b/>
            <sz val="8"/>
            <color indexed="81"/>
            <rFont val="Tahoma"/>
            <family val="2"/>
          </rPr>
          <t xml:space="preserve">Project example:
</t>
        </r>
        <r>
          <rPr>
            <sz val="8"/>
            <color indexed="81"/>
            <rFont val="Tahoma"/>
            <family val="2"/>
          </rPr>
          <t xml:space="preserve"> 51037</t>
        </r>
        <r>
          <rPr>
            <b/>
            <sz val="8"/>
            <color indexed="81"/>
            <rFont val="Tahoma"/>
            <family val="2"/>
          </rPr>
          <t xml:space="preserve">
Story example:
</t>
        </r>
        <r>
          <rPr>
            <sz val="8"/>
            <color indexed="81"/>
            <rFont val="Tahoma"/>
            <family val="2"/>
          </rPr>
          <t xml:space="preserve"> B-123456</t>
        </r>
      </text>
    </comment>
    <comment ref="A9" authorId="0" shapeId="0">
      <text>
        <r>
          <rPr>
            <b/>
            <sz val="8"/>
            <color indexed="81"/>
            <rFont val="Tahoma"/>
            <family val="2"/>
          </rPr>
          <t xml:space="preserve">Example:
</t>
        </r>
        <r>
          <rPr>
            <sz val="8"/>
            <color indexed="81"/>
            <rFont val="Tahoma"/>
            <family val="2"/>
          </rPr>
          <t>10.41.20.5 or 10.118.20.0/24
To enter data on a new line within a cell, enter a line break by pressing Alt+Enter
Consolidating entries for multiple source IPs that have identical access requirements to the same  destination IP address(es) using the same destination port will result in your request being processed more efficiently.</t>
        </r>
      </text>
    </comment>
    <comment ref="B9" authorId="0" shapeId="0">
      <text>
        <r>
          <rPr>
            <b/>
            <sz val="8"/>
            <color indexed="81"/>
            <rFont val="Tahoma"/>
            <family val="2"/>
          </rPr>
          <t>List the URL, FQDN, hostname or network of your sources. In cases where multiple IP addresses resolve to the same FQDN this is where you would list the common FQDN. There is no need to repeat the name more than once in this case.
Example:</t>
        </r>
        <r>
          <rPr>
            <sz val="8"/>
            <color indexed="81"/>
            <rFont val="Tahoma"/>
            <family val="2"/>
          </rPr>
          <t xml:space="preserve">
examplehostname
192.168.1.0/24
example.kdc.capitalone.com
To enter data on a new line within a cell, enter a line break by pressing Alt+Enter</t>
        </r>
      </text>
    </comment>
    <comment ref="C9" authorId="0" shapeId="0">
      <text>
        <r>
          <rPr>
            <b/>
            <sz val="8"/>
            <color indexed="81"/>
            <rFont val="Tahoma"/>
            <family val="2"/>
          </rPr>
          <t xml:space="preserve">Object names must meet Capital One Naming Standards
</t>
        </r>
        <r>
          <rPr>
            <sz val="8"/>
            <color indexed="81"/>
            <rFont val="Tahoma"/>
            <family val="2"/>
          </rPr>
          <t>&lt;opt-g&gt;&lt;FQDN HOST&gt;-&lt;IP_ADDRESS&gt;-&lt;OPTIONAL&gt;</t>
        </r>
        <r>
          <rPr>
            <b/>
            <sz val="8"/>
            <color indexed="81"/>
            <rFont val="Tahoma"/>
            <family val="2"/>
          </rPr>
          <t xml:space="preserve">
Example:</t>
        </r>
        <r>
          <rPr>
            <sz val="8"/>
            <color indexed="81"/>
            <rFont val="Tahoma"/>
            <family val="2"/>
          </rPr>
          <t xml:space="preserve">
example-10.10.10.10
example2-11.11.11.11-Splunk
gDHCP_Users-rulebase
net-10.10.10.0_24</t>
        </r>
      </text>
    </comment>
    <comment ref="F9" authorId="1" shapeId="0">
      <text>
        <r>
          <rPr>
            <b/>
            <sz val="9"/>
            <color indexed="81"/>
            <rFont val="Tahoma"/>
            <family val="2"/>
          </rPr>
          <t>oid153:</t>
        </r>
        <r>
          <rPr>
            <sz val="9"/>
            <color indexed="81"/>
            <rFont val="Tahoma"/>
            <family val="2"/>
          </rPr>
          <t xml:space="preserve">
To enter data on a new line within a cell, enter a line break by pressing Alt+Enter
Consolidating entries for multiple source IPs that have identical access requirements to the same  destination IP address(es) using the same destination port will result in your request being processed more efficiently.</t>
        </r>
      </text>
    </comment>
    <comment ref="K9" authorId="0" shapeId="0">
      <text>
        <r>
          <rPr>
            <b/>
            <sz val="8"/>
            <color indexed="81"/>
            <rFont val="Tahoma"/>
            <family val="2"/>
          </rPr>
          <t>Example:</t>
        </r>
        <r>
          <rPr>
            <sz val="8"/>
            <color indexed="81"/>
            <rFont val="Tahoma"/>
            <family val="2"/>
          </rPr>
          <t xml:space="preserve">
ssl, web-browsing, office-365, etc.</t>
        </r>
      </text>
    </comment>
    <comment ref="L9" authorId="0" shapeId="0">
      <text>
        <r>
          <rPr>
            <b/>
            <sz val="8"/>
            <color indexed="81"/>
            <rFont val="Tahoma"/>
            <family val="2"/>
          </rPr>
          <t>Example:</t>
        </r>
        <r>
          <rPr>
            <sz val="8"/>
            <color indexed="81"/>
            <rFont val="Tahoma"/>
            <family val="2"/>
          </rPr>
          <t xml:space="preserve">
HTTP, Cyberark, McAfee, etc.</t>
        </r>
      </text>
    </comment>
    <comment ref="M9" authorId="0" shapeId="0">
      <text>
        <r>
          <rPr>
            <b/>
            <sz val="8"/>
            <color indexed="81"/>
            <rFont val="Tahoma"/>
            <family val="2"/>
          </rPr>
          <t>Example:</t>
        </r>
        <r>
          <rPr>
            <sz val="8"/>
            <color indexed="81"/>
            <rFont val="Tahoma"/>
            <family val="2"/>
          </rPr>
          <t xml:space="preserve">
TCP, UDP, ICMP, etc</t>
        </r>
      </text>
    </comment>
    <comment ref="N9" authorId="0" shapeId="0">
      <text>
        <r>
          <rPr>
            <b/>
            <sz val="8"/>
            <color indexed="81"/>
            <rFont val="Tahoma"/>
            <family val="2"/>
          </rPr>
          <t>Example:</t>
        </r>
        <r>
          <rPr>
            <sz val="8"/>
            <color indexed="81"/>
            <rFont val="Tahoma"/>
            <family val="2"/>
          </rPr>
          <t xml:space="preserve">
80</t>
        </r>
      </text>
    </comment>
    <comment ref="O9" authorId="0" shapeId="0">
      <text>
        <r>
          <rPr>
            <sz val="8"/>
            <color indexed="81"/>
            <rFont val="Tahoma"/>
            <family val="2"/>
          </rPr>
          <t>Use pull down and select þ if applicable</t>
        </r>
        <r>
          <rPr>
            <sz val="8"/>
            <color indexed="81"/>
            <rFont val="Tahoma"/>
            <family val="2"/>
          </rPr>
          <t xml:space="preserve">
</t>
        </r>
      </text>
    </comment>
    <comment ref="U9" authorId="0" shapeId="0">
      <text>
        <r>
          <rPr>
            <b/>
            <sz val="8"/>
            <color indexed="81"/>
            <rFont val="Tahoma"/>
            <family val="2"/>
          </rPr>
          <t xml:space="preserve">Examples:
DBE - </t>
        </r>
        <r>
          <rPr>
            <sz val="8"/>
            <color indexed="81"/>
            <rFont val="Tahoma"/>
            <family val="2"/>
          </rPr>
          <t xml:space="preserve">DB-123456
</t>
        </r>
        <r>
          <rPr>
            <b/>
            <sz val="8"/>
            <color indexed="81"/>
            <rFont val="Tahoma"/>
            <family val="2"/>
          </rPr>
          <t>Baseline</t>
        </r>
        <r>
          <rPr>
            <sz val="8"/>
            <color indexed="81"/>
            <rFont val="Tahoma"/>
            <family val="2"/>
          </rPr>
          <t xml:space="preserve"> - Least-01 | 0
Baseline references must be in Tab | PS format.</t>
        </r>
      </text>
    </comment>
    <comment ref="Y9" authorId="0" shapeId="0">
      <text>
        <r>
          <rPr>
            <sz val="8"/>
            <color indexed="81"/>
            <rFont val="Tahoma"/>
            <family val="2"/>
          </rPr>
          <t>Autofill if source IP is populated.  Do not edit.  Implementing engineer needs to put this data in rule's comment field.</t>
        </r>
      </text>
    </comment>
    <comment ref="D42" authorId="2" shapeId="0">
      <text>
        <r>
          <rPr>
            <b/>
            <sz val="9"/>
            <color indexed="81"/>
            <rFont val="Tahoma"/>
            <family val="2"/>
          </rPr>
          <t>Windows User:</t>
        </r>
        <r>
          <rPr>
            <sz val="9"/>
            <color indexed="81"/>
            <rFont val="Tahoma"/>
            <family val="2"/>
          </rPr>
          <t xml:space="preserve">
CheckPoint only</t>
        </r>
      </text>
    </comment>
  </commentList>
</comments>
</file>

<file path=xl/comments2.xml><?xml version="1.0" encoding="utf-8"?>
<comments xmlns="http://schemas.openxmlformats.org/spreadsheetml/2006/main">
  <authors>
    <author>Glen Wilson</author>
    <author>oid153</author>
    <author>Windows User</author>
  </authors>
  <commentList>
    <comment ref="A1" authorId="0" shapeId="0">
      <text>
        <r>
          <rPr>
            <b/>
            <sz val="8"/>
            <color indexed="81"/>
            <rFont val="Tahoma"/>
            <family val="2"/>
          </rPr>
          <t xml:space="preserve">Required for Rule Comment Field - </t>
        </r>
        <r>
          <rPr>
            <sz val="8"/>
            <color indexed="81"/>
            <rFont val="Tahoma"/>
            <family val="2"/>
          </rPr>
          <t>Cap One Project or Story Number.</t>
        </r>
      </text>
    </comment>
    <comment ref="B1" authorId="0" shapeId="0">
      <text>
        <r>
          <rPr>
            <b/>
            <sz val="8"/>
            <color indexed="81"/>
            <rFont val="Tahoma"/>
            <family val="2"/>
          </rPr>
          <t xml:space="preserve">Project example:
</t>
        </r>
        <r>
          <rPr>
            <sz val="8"/>
            <color indexed="81"/>
            <rFont val="Tahoma"/>
            <family val="2"/>
          </rPr>
          <t xml:space="preserve"> 51037</t>
        </r>
        <r>
          <rPr>
            <b/>
            <sz val="8"/>
            <color indexed="81"/>
            <rFont val="Tahoma"/>
            <family val="2"/>
          </rPr>
          <t xml:space="preserve">
Story example:
</t>
        </r>
        <r>
          <rPr>
            <sz val="8"/>
            <color indexed="81"/>
            <rFont val="Tahoma"/>
            <family val="2"/>
          </rPr>
          <t xml:space="preserve"> B-123456</t>
        </r>
      </text>
    </comment>
    <comment ref="A11" authorId="0" shapeId="0">
      <text>
        <r>
          <rPr>
            <b/>
            <sz val="8"/>
            <color indexed="81"/>
            <rFont val="Tahoma"/>
            <family val="2"/>
          </rPr>
          <t xml:space="preserve">Example:
</t>
        </r>
        <r>
          <rPr>
            <sz val="8"/>
            <color indexed="81"/>
            <rFont val="Tahoma"/>
            <family val="2"/>
          </rPr>
          <t>10.41.20.5 or 10.118.20.0/24
To enter data on a new line within a cell, enter a line break by pressing Alt+Enter
Consolidating entries for multiple source IPs that have identical access requirements to the same  destination IP address(es) using the same destination port will result in your request being processed more efficiently.</t>
        </r>
      </text>
    </comment>
    <comment ref="B11" authorId="0" shapeId="0">
      <text>
        <r>
          <rPr>
            <b/>
            <sz val="8"/>
            <color indexed="81"/>
            <rFont val="Tahoma"/>
            <family val="2"/>
          </rPr>
          <t>List the URL, FQDN, hostname or network of your sources. In cases where multiple IP addresses resolve to the same FQDN this is where you would list the common FQDN. There is no need to repeat the name more than once in this case.
Example:</t>
        </r>
        <r>
          <rPr>
            <sz val="8"/>
            <color indexed="81"/>
            <rFont val="Tahoma"/>
            <family val="2"/>
          </rPr>
          <t xml:space="preserve">
examplehostname
192.168.1.0/24
example.kdc.capitalone.com
To enter data on a new line within a cell, enter a line break by pressing Alt+Enter</t>
        </r>
      </text>
    </comment>
    <comment ref="C11" authorId="0" shapeId="0">
      <text>
        <r>
          <rPr>
            <b/>
            <sz val="8"/>
            <color indexed="81"/>
            <rFont val="Tahoma"/>
            <family val="2"/>
          </rPr>
          <t xml:space="preserve">Object names must meet Capital One Naming Standards
</t>
        </r>
        <r>
          <rPr>
            <sz val="8"/>
            <color indexed="81"/>
            <rFont val="Tahoma"/>
            <family val="2"/>
          </rPr>
          <t>&lt;opt-g&gt;&lt;FQDN HOST&gt;-&lt;IP_ADDRESS&gt;-&lt;OPTIONAL&gt;</t>
        </r>
        <r>
          <rPr>
            <b/>
            <sz val="8"/>
            <color indexed="81"/>
            <rFont val="Tahoma"/>
            <family val="2"/>
          </rPr>
          <t xml:space="preserve">
Example:</t>
        </r>
        <r>
          <rPr>
            <sz val="8"/>
            <color indexed="81"/>
            <rFont val="Tahoma"/>
            <family val="2"/>
          </rPr>
          <t xml:space="preserve">
example-10.10.10.10
example2-11.11.11.11-Splunk
gDHCP_Users-rulebase
net-10.10.10.0_24</t>
        </r>
      </text>
    </comment>
    <comment ref="F11" authorId="1" shapeId="0">
      <text>
        <r>
          <rPr>
            <b/>
            <sz val="9"/>
            <color indexed="81"/>
            <rFont val="Tahoma"/>
            <family val="2"/>
          </rPr>
          <t>oid153:</t>
        </r>
        <r>
          <rPr>
            <sz val="9"/>
            <color indexed="81"/>
            <rFont val="Tahoma"/>
            <family val="2"/>
          </rPr>
          <t xml:space="preserve">
To enter data on a new line within a cell, enter a line break by pressing Alt+Enter
Consolidating entries for multiple source IPs that have identical access requirements to the same  destination IP address(es) using the same destination port will result in your request being processed more efficiently.</t>
        </r>
      </text>
    </comment>
    <comment ref="K11" authorId="0" shapeId="0">
      <text>
        <r>
          <rPr>
            <b/>
            <sz val="8"/>
            <color indexed="81"/>
            <rFont val="Tahoma"/>
            <family val="2"/>
          </rPr>
          <t>Example:</t>
        </r>
        <r>
          <rPr>
            <sz val="8"/>
            <color indexed="81"/>
            <rFont val="Tahoma"/>
            <family val="2"/>
          </rPr>
          <t xml:space="preserve">
ssl, web-browsing, office-365, etc.</t>
        </r>
      </text>
    </comment>
    <comment ref="L11" authorId="0" shapeId="0">
      <text>
        <r>
          <rPr>
            <b/>
            <sz val="8"/>
            <color indexed="81"/>
            <rFont val="Tahoma"/>
            <family val="2"/>
          </rPr>
          <t>Example:</t>
        </r>
        <r>
          <rPr>
            <sz val="8"/>
            <color indexed="81"/>
            <rFont val="Tahoma"/>
            <family val="2"/>
          </rPr>
          <t xml:space="preserve">
HTTP, Cyberark, McAfee, etc.</t>
        </r>
      </text>
    </comment>
    <comment ref="M11" authorId="0" shapeId="0">
      <text>
        <r>
          <rPr>
            <b/>
            <sz val="8"/>
            <color indexed="81"/>
            <rFont val="Tahoma"/>
            <family val="2"/>
          </rPr>
          <t>Example:</t>
        </r>
        <r>
          <rPr>
            <sz val="8"/>
            <color indexed="81"/>
            <rFont val="Tahoma"/>
            <family val="2"/>
          </rPr>
          <t xml:space="preserve">
TCP, UDP, ICMP, etc</t>
        </r>
      </text>
    </comment>
    <comment ref="N11" authorId="0" shapeId="0">
      <text>
        <r>
          <rPr>
            <b/>
            <sz val="8"/>
            <color indexed="81"/>
            <rFont val="Tahoma"/>
            <family val="2"/>
          </rPr>
          <t>Example:</t>
        </r>
        <r>
          <rPr>
            <sz val="8"/>
            <color indexed="81"/>
            <rFont val="Tahoma"/>
            <family val="2"/>
          </rPr>
          <t xml:space="preserve">
80</t>
        </r>
      </text>
    </comment>
    <comment ref="O11" authorId="0" shapeId="0">
      <text>
        <r>
          <rPr>
            <sz val="8"/>
            <color indexed="81"/>
            <rFont val="Tahoma"/>
            <family val="2"/>
          </rPr>
          <t>Use pull down and select þ if applicable</t>
        </r>
        <r>
          <rPr>
            <sz val="8"/>
            <color indexed="81"/>
            <rFont val="Tahoma"/>
            <family val="2"/>
          </rPr>
          <t xml:space="preserve">
</t>
        </r>
      </text>
    </comment>
    <comment ref="U11" authorId="0" shapeId="0">
      <text>
        <r>
          <rPr>
            <b/>
            <sz val="8"/>
            <color indexed="81"/>
            <rFont val="Tahoma"/>
            <family val="2"/>
          </rPr>
          <t xml:space="preserve">Examples:
DBE - </t>
        </r>
        <r>
          <rPr>
            <sz val="8"/>
            <color indexed="81"/>
            <rFont val="Tahoma"/>
            <family val="2"/>
          </rPr>
          <t xml:space="preserve">DB-123456
</t>
        </r>
        <r>
          <rPr>
            <b/>
            <sz val="8"/>
            <color indexed="81"/>
            <rFont val="Tahoma"/>
            <family val="2"/>
          </rPr>
          <t>Baseline</t>
        </r>
        <r>
          <rPr>
            <sz val="8"/>
            <color indexed="81"/>
            <rFont val="Tahoma"/>
            <family val="2"/>
          </rPr>
          <t xml:space="preserve"> - Least-01 | 0
Baseline references must be in Tab | PS format.</t>
        </r>
      </text>
    </comment>
    <comment ref="Y11" authorId="0" shapeId="0">
      <text>
        <r>
          <rPr>
            <sz val="8"/>
            <color indexed="81"/>
            <rFont val="Tahoma"/>
            <family val="2"/>
          </rPr>
          <t>Autofill if source IP is populated.  Do not edit.  Implementing engineer needs to put this data in rule's comment field.</t>
        </r>
      </text>
    </comment>
    <comment ref="A15" authorId="1" shapeId="0">
      <text>
        <r>
          <rPr>
            <b/>
            <sz val="9"/>
            <color indexed="81"/>
            <rFont val="Tahoma"/>
            <family val="2"/>
          </rPr>
          <t>oid153:</t>
        </r>
        <r>
          <rPr>
            <sz val="9"/>
            <color indexed="81"/>
            <rFont val="Tahoma"/>
            <family val="2"/>
          </rPr>
          <t xml:space="preserve">
To enter data on a new line within a cell, enter a line break by pressing Alt+Enter
Consolidating entries for multiple source IPs that have identical access requirements to the same  destination IP address(es) using the same destination port will result in your request being processed more efficiently.</t>
        </r>
      </text>
    </comment>
    <comment ref="B15" authorId="1" shapeId="0">
      <text>
        <r>
          <rPr>
            <b/>
            <sz val="9"/>
            <color indexed="81"/>
            <rFont val="Tahoma"/>
            <family val="2"/>
          </rPr>
          <t>oid153:</t>
        </r>
        <r>
          <rPr>
            <sz val="9"/>
            <color indexed="81"/>
            <rFont val="Tahoma"/>
            <family val="2"/>
          </rPr>
          <t xml:space="preserve">
To enter data on a new line within a cell, enter a line break by pressing Alt+Enter
Consolidating entries for multiple source IPs that have identical access requirements to the same  destination IP address(es) using the same destination port will result in your request being processed more efficiently.</t>
        </r>
      </text>
    </comment>
    <comment ref="C15" authorId="1" shapeId="0">
      <text>
        <r>
          <rPr>
            <b/>
            <sz val="9"/>
            <color indexed="81"/>
            <rFont val="Tahoma"/>
            <family val="2"/>
          </rPr>
          <t>oid153:</t>
        </r>
        <r>
          <rPr>
            <sz val="9"/>
            <color indexed="81"/>
            <rFont val="Tahoma"/>
            <family val="2"/>
          </rPr>
          <t xml:space="preserve">
To enter data on a new line within a cell, enter a line break by pressing Alt+Enter
Consolidating entries for multiple source IPs that have identical access requirements to the same  destination IP address(es) using the same destination port will result in your request being processed more efficiently.</t>
        </r>
      </text>
    </comment>
    <comment ref="D44" authorId="2" shapeId="0">
      <text>
        <r>
          <rPr>
            <b/>
            <sz val="9"/>
            <color indexed="81"/>
            <rFont val="Tahoma"/>
            <family val="2"/>
          </rPr>
          <t>Windows User:</t>
        </r>
        <r>
          <rPr>
            <sz val="9"/>
            <color indexed="81"/>
            <rFont val="Tahoma"/>
            <family val="2"/>
          </rPr>
          <t xml:space="preserve">
CheckPoint only</t>
        </r>
      </text>
    </comment>
  </commentList>
</comments>
</file>

<file path=xl/sharedStrings.xml><?xml version="1.0" encoding="utf-8"?>
<sst xmlns="http://schemas.openxmlformats.org/spreadsheetml/2006/main" count="570" uniqueCount="394">
  <si>
    <t>Source</t>
  </si>
  <si>
    <t>IP Address</t>
  </si>
  <si>
    <t>Destination</t>
  </si>
  <si>
    <t>Application Name</t>
  </si>
  <si>
    <t>Protocol</t>
  </si>
  <si>
    <t>Abbreviation</t>
  </si>
  <si>
    <t>Definition</t>
  </si>
  <si>
    <t>Secured Domain</t>
  </si>
  <si>
    <t>Production Support</t>
  </si>
  <si>
    <t>File Exchange (back-end)</t>
  </si>
  <si>
    <t>Capital One Shared Services</t>
  </si>
  <si>
    <t>Shared Services</t>
  </si>
  <si>
    <t>Business Services (f.k.a. Call Center)</t>
  </si>
  <si>
    <t>Outsourced Application Integration</t>
  </si>
  <si>
    <t>Inbound/Outbound Non-Ecommerce CD</t>
  </si>
  <si>
    <t>Ecommerce Back-end</t>
  </si>
  <si>
    <t>Ecommerce Front-end</t>
  </si>
  <si>
    <t xml:space="preserve">Capital One Externally Controlled Domain (Acquisitions) </t>
  </si>
  <si>
    <t>Third-Party Externally Controlled Domain (Contractors)</t>
  </si>
  <si>
    <t>Uncontrolled Doman (Internet)</t>
  </si>
  <si>
    <t>Restricted Domain (COIN)</t>
  </si>
  <si>
    <t>Previous editions are obsolete</t>
  </si>
  <si>
    <t>Port</t>
  </si>
  <si>
    <t>DB</t>
  </si>
  <si>
    <t>Source Firewall</t>
  </si>
  <si>
    <t>Manager(s)</t>
  </si>
  <si>
    <t>Original SRC</t>
  </si>
  <si>
    <t>Original DST</t>
  </si>
  <si>
    <t>XLATE SRC</t>
  </si>
  <si>
    <t>XLATE DST</t>
  </si>
  <si>
    <t>NATs</t>
  </si>
  <si>
    <t>Rules</t>
  </si>
  <si>
    <t>Autofill Rule Comment Field
(Add CO EID Date)</t>
  </si>
  <si>
    <t>DBE #
or Baseline</t>
  </si>
  <si>
    <t>Notes</t>
  </si>
  <si>
    <t>Destination Firewall</t>
  </si>
  <si>
    <t>Firewall</t>
  </si>
  <si>
    <t>Routes</t>
  </si>
  <si>
    <t>IP Address or Network</t>
  </si>
  <si>
    <t>OS Specific Syntax</t>
  </si>
  <si>
    <t>Project or Story #</t>
  </si>
  <si>
    <t>Capital One – Provider-1 Object Naming/Color Standard</t>
  </si>
  <si>
    <t>Version 3.5</t>
  </si>
  <si>
    <t>Object Naming and Use</t>
  </si>
  <si>
    <t>All Objects</t>
  </si>
  <si>
    <t>Host and network object names will be entered in lower case. Exception: Global Network objects may use capital n (gNet-). Group and service objects may be upper and lower case.</t>
  </si>
  <si>
    <t>Color scheme will follow the standard listed in the Object Colors section of this document.</t>
  </si>
  <si>
    <r>
      <t>GLOBAL OBJECT</t>
    </r>
    <r>
      <rPr>
        <b/>
        <sz val="12"/>
        <rFont val="Times New Roman"/>
        <family val="1"/>
      </rPr>
      <t xml:space="preserve"> </t>
    </r>
    <r>
      <rPr>
        <sz val="12"/>
        <rFont val="Times New Roman"/>
        <family val="1"/>
      </rPr>
      <t>USE – The only global objects permitted for use in local rule sets are control domain definitions.  No service or individual host or network objects are permitted in local rule set use.  The current state of allowable global control domain definitions are indicated in the Global Control Domain Object Status section of this document.</t>
    </r>
  </si>
  <si>
    <t>Hosts</t>
  </si>
  <si>
    <t>Syntax Internal:  &lt;opt-g&gt;&lt;FQDN HOST&gt;-&lt;IP_ADDRESS&gt;-&lt;OPTIONAL&gt;</t>
  </si>
  <si>
    <t xml:space="preserve">Example: kdcopserver-10.1.2.3 </t>
  </si>
  <si>
    <t>Syntax Customer: &lt;opt-g&gt;&lt;CUSTOMER NAME&gt;-&lt;IP ADDRESS&gt;-&lt;OPTIONAL&gt;</t>
  </si>
  <si>
    <t>Syntax Internet:  &lt;opt-g&gt;&lt;FQDN&gt;</t>
  </si>
  <si>
    <t>Capital One Internal Hosts</t>
  </si>
  <si>
    <t>All Internal CapitalOne hosts are required under IPAM to carry a DNS entry.  If no DNS entry exists, notify customer.</t>
  </si>
  <si>
    <t>Object name will be the “host” portion of the FQDN located in CapitalOne DNS records followed by IP address of the object.</t>
  </si>
  <si>
    <t>Optional field information such as use case, major application ID, etc., may be appended.</t>
  </si>
  <si>
    <t>Customer Hosts Used in Firewall Policies</t>
  </si>
  <si>
    <t>Customer hosts accessible from internal locations may not be included in IPAM nor may they carry a CapitalOne DNS entry.</t>
  </si>
  <si>
    <t>Object name will be the customer name followed by IP address of the object.</t>
  </si>
  <si>
    <t>Optional information, such as use case, major application ID, etc. may be appended.</t>
  </si>
  <si>
    <t>Internet Host Objects</t>
  </si>
  <si>
    <t>Object denoting internet sourced host objects shall be configured as the FQDN.</t>
  </si>
  <si>
    <t>The comment field will be filled in with the host’s purpose and the CO of the change for which it was added.</t>
  </si>
  <si>
    <t>NAT host objects</t>
  </si>
  <si>
    <t>NAT-&lt;IP_ADDRESS&gt;-&lt;OPTIONAL&gt; may be used for NAT objects that have no further distinction available than the IP reference.</t>
  </si>
  <si>
    <t>Example: NAT-199.244.214.30-RD_Hide_NAT</t>
  </si>
  <si>
    <t>Names starting with numbers</t>
  </si>
  <si>
    <t>Exception for hostnames that begin with numbers - Check Point objects must start with a letter.  h- will start the name, this is the only case where h- will be allowed.</t>
  </si>
  <si>
    <t>h-&lt;FQDN HOST THAT BEGINS WITH A NUMBER&gt;-&lt;IP_ADDRESS&gt;-&lt;OPTIONAL&gt;</t>
  </si>
  <si>
    <t>Example: h-7-eleven.com</t>
  </si>
  <si>
    <t>Groups</t>
  </si>
  <si>
    <t>Syntax:  &lt;opt-g&gt;&lt;Control Domain Container&gt;-&lt;business purpose or major application&gt;</t>
  </si>
  <si>
    <t>Example: gDQTCD-WINTEL</t>
  </si>
  <si>
    <t>Name will be the Control Domain Container type, a dash, and the purpose of the container.</t>
  </si>
  <si>
    <t>Group Objects shall contain hosts and/or network objects of the same control domain classification.</t>
  </si>
  <si>
    <t>Example: If a rule requires use of group objects to multiple independent control domain types for the same application type, create and utilize multiple groups. Eg. DQTCD-RTM, RD-RTM, BSCD-RTM for RTM servers located in varied control domain types.</t>
  </si>
  <si>
    <t>Global group objects shall prepend a lowercase g to the name.</t>
  </si>
  <si>
    <t>Groups starting with numbers</t>
  </si>
  <si>
    <t>Exception for groups that begin with numbers - Check Point objects must start with a letter.  grp- will start the name, this is the only case where grp- will be allowed.</t>
  </si>
  <si>
    <t>Example: grp-3PECD-RemoteCC</t>
  </si>
  <si>
    <t>Networks</t>
  </si>
  <si>
    <t>Syntax: &lt;opt-g&gt;net-&lt;IP BLOCK&gt;_&lt;CIDR&gt;-&lt;OPTIONAL&gt;</t>
  </si>
  <si>
    <t>Name will be the word “net”, a dash, and the network subnet followed by an underscore and the CIDR mask length.  Global Network objects may use capital n in Net (gNet-)</t>
  </si>
  <si>
    <t>An optional appended field exists denote a use case scenario</t>
  </si>
  <si>
    <t>Example:  “gNet-192.168.1.0_24-DHCP_USERS”</t>
  </si>
  <si>
    <t>Example: “net-10.1.2.0_24”</t>
  </si>
  <si>
    <t>The comment field will be filled in with the purpose of the network and the CO of the change for which it was added.</t>
  </si>
  <si>
    <t>IP Range Objects</t>
  </si>
  <si>
    <t>IP range objects shall not be used with one current exception:  IP range objects may be used in the NAT rulebase only when 1 for 1 NATs across ranges is required. NAT engineering designs that use this technique need nTDD approval.</t>
  </si>
  <si>
    <t>Ports &amp; Protocols</t>
  </si>
  <si>
    <t>The name will be the official name assigned to the port by the Internet Assigned Numbers Authority (IANA).  The current list is always at http://www.iana.org/assignments/port-numbers</t>
  </si>
  <si>
    <t>If the port in question is listed as "Unassigned" in the IANA list the name will be the protocol type, a dash, and then the port number.</t>
  </si>
  <si>
    <t>Example:  TCP-1234</t>
  </si>
  <si>
    <t>The “keep connections open when policy is pushed” checkbox will be checked.</t>
  </si>
  <si>
    <t>The comment field will be filled in with the purpose of the protocol and the CO of the change for which it was added.</t>
  </si>
  <si>
    <t>Service port ranges for two ports should not be used (do not create TCP-80-81).  Larger port ranges are permitted.</t>
  </si>
  <si>
    <t>Example:  TCP-20014-20034</t>
  </si>
  <si>
    <t>Object Duplications</t>
  </si>
  <si>
    <t>Policy - DO NOT USE TBD- designated objects or services in any new rules or object groups.</t>
  </si>
  <si>
    <t xml:space="preserve">   If during ruleset object creation and/or work, duplicate object names with invalid IP addressing are discovered, the staging engineer shall follow the following steps:</t>
  </si>
  <si>
    <t>Rename offending object to TBD-&lt;original_name&gt;   (can append IP address as required/needed)</t>
  </si>
  <si>
    <t>Re-color offending object to white.</t>
  </si>
  <si>
    <t>Name new target-state object to the naming standards current in this document</t>
  </si>
  <si>
    <t>If TBD renamed object conflicts with existing TBD named object, append a version of lowercase alphabetical to the newly renamed object.</t>
  </si>
  <si>
    <t>Syntax:  TBD-&lt;working qualifier (optional)&gt;-&lt;standardized object name&gt;-&lt;multi-duplicate identifier (optional)&gt;</t>
  </si>
  <si>
    <t>Examples:</t>
  </si>
  <si>
    <t>TBD-Net-10.8.144.0_24-a = a duplicate of the Net-10.8.144.0_24 object which should be used in place of this</t>
  </si>
  <si>
    <t>TBD-Net-10.8.144.0_24-b = a second duplicate of the same object.  Naturally we add the -b as we cannot carry identical names.  The placement of the -a on the prior object only serves to inform the mitigation engineer that multiple duplicates exist</t>
  </si>
  <si>
    <t>NON TBD WHITE COLORED OBJECTS</t>
  </si>
  <si>
    <t>   Some objects cannot be renamed or deleted and are required for use locally by Firewall-1.  A differential object from the global rulebase may still be preferred over the local object.  If you see a local object (e.g. objects http and https on Frankenstein) which are colored white and not renamed, please do a table sort in the object database and use the appropriate replacement.</t>
  </si>
  <si>
    <t>Object Colors</t>
  </si>
  <si>
    <t>Objects will be color coded according to their control domain type.  Control domain type will be determined by the ITRO control domain spreadsheet located at https://knowledgelink.kdc.capitalone.com/kl/livelink.exe?func=ll&amp;objId=1012552404&amp;objAction=browse&amp;viewType=1</t>
  </si>
  <si>
    <t xml:space="preserve">These are the colors as listed in the Check Point R7X SmartDashboard along with their associations.    </t>
  </si>
  <si>
    <t>Firewall Council Change Order Guidelines</t>
  </si>
  <si>
    <t>Hostname, Network or FQDN</t>
  </si>
  <si>
    <t>CMA</t>
  </si>
  <si>
    <t>RD &lt;Light Green&gt;</t>
  </si>
  <si>
    <t>PSCD &lt;Crete Blue&gt;</t>
  </si>
  <si>
    <t>SD &lt;Dark Green&gt;</t>
  </si>
  <si>
    <t>EDECD &lt;Orchid&gt;</t>
  </si>
  <si>
    <t>BSCD &lt;Sky Blue&gt;</t>
  </si>
  <si>
    <t>IONCD &lt;Gray&gt;</t>
  </si>
  <si>
    <t>BECD &lt;Forest Green&gt;</t>
  </si>
  <si>
    <t>FECD &lt;Firebrick&gt;</t>
  </si>
  <si>
    <t>C1-ECD &lt;Orange&gt;</t>
  </si>
  <si>
    <t>3P-ECD &lt;Orange&gt;</t>
  </si>
  <si>
    <t>UCD &lt;Red&gt;</t>
  </si>
  <si>
    <t xml:space="preserve">                  Example: fidelity-1.2.3.4-mainframeVIP</t>
  </si>
  <si>
    <t xml:space="preserve">                  Example: gwww.capitalone.com</t>
  </si>
  <si>
    <t>C1-SSCD &lt;Brown&gt;</t>
  </si>
  <si>
    <t>SSCD &lt;Brown&gt;</t>
  </si>
  <si>
    <t>OAICD &lt;Aquamarine&gt;</t>
  </si>
  <si>
    <t>CDE-SD &lt;Black&gt;</t>
  </si>
  <si>
    <t>Object Name
(FW Engineer)</t>
  </si>
  <si>
    <t>Security
Domain
(FW Engineer)</t>
  </si>
  <si>
    <t>(Firewall Engineer Use Only)</t>
  </si>
  <si>
    <t>XLATE Port</t>
  </si>
  <si>
    <t>Original Port</t>
  </si>
  <si>
    <t>Total Rule Count</t>
  </si>
  <si>
    <t>Total Object Count</t>
  </si>
  <si>
    <t>Devlopment / QA / Test / Scrubbed</t>
  </si>
  <si>
    <t>Devlopment / QA / Test / Non-Scrubbed</t>
  </si>
  <si>
    <t>DQTCD Scrubbed &lt;Yellow&gt;</t>
  </si>
  <si>
    <t>DQTCD Non-Scrubbed &lt;Yellow&gt;</t>
  </si>
  <si>
    <t>þ</t>
  </si>
  <si>
    <t>Notes (Hide or Static NAT, Rule Placement Notes, etc)</t>
  </si>
  <si>
    <t>1364/TCP</t>
  </si>
  <si>
    <t>Original</t>
  </si>
  <si>
    <t>Woo</t>
  </si>
  <si>
    <t>KDCMGR01</t>
  </si>
  <si>
    <t>Hide NAT</t>
  </si>
  <si>
    <t>Static NAT</t>
  </si>
  <si>
    <t>MDCFWIONBE</t>
  </si>
  <si>
    <t>XML</t>
  </si>
  <si>
    <t>TCP</t>
  </si>
  <si>
    <t>n/a</t>
  </si>
  <si>
    <t>VDCFWIONFE</t>
  </si>
  <si>
    <t>Least-01|0</t>
  </si>
  <si>
    <t>MDCFWDQT</t>
  </si>
  <si>
    <t>Frankenstein</t>
  </si>
  <si>
    <t>HTTPS</t>
  </si>
  <si>
    <r>
      <rPr>
        <strike/>
        <sz val="10"/>
        <rFont val="Cambria"/>
        <family val="1"/>
      </rPr>
      <t>KDCFWDQT</t>
    </r>
    <r>
      <rPr>
        <sz val="10"/>
        <rFont val="Cambria"/>
        <family val="1"/>
      </rPr>
      <t xml:space="preserve">
TheBeast</t>
    </r>
  </si>
  <si>
    <t>1.2.3.4</t>
  </si>
  <si>
    <t>6.7.8.9</t>
  </si>
  <si>
    <t>DB-123456 Tracking ID# 78901234</t>
  </si>
  <si>
    <t>2.3.4.0/25</t>
  </si>
  <si>
    <t>4.2.1.3</t>
  </si>
  <si>
    <t>randomtask.kdc.capitalone.com</t>
  </si>
  <si>
    <t>randomtask-4.2.1.3</t>
  </si>
  <si>
    <t>Hidden_Source_Group</t>
  </si>
  <si>
    <t>ANY</t>
  </si>
  <si>
    <t>NAT-9.0.1.2</t>
  </si>
  <si>
    <t>KDCFWIONFE</t>
  </si>
  <si>
    <t>5.6.7.0/24</t>
  </si>
  <si>
    <t>2.5.8.1</t>
  </si>
  <si>
    <t>6.5.4.32</t>
  </si>
  <si>
    <t>MI6-online.com</t>
  </si>
  <si>
    <t>Global Group</t>
  </si>
  <si>
    <t>gMDC_ION-Hybrid-TS</t>
  </si>
  <si>
    <t>mi6-online.com</t>
  </si>
  <si>
    <t>spectrevip-6.7.8.9</t>
  </si>
  <si>
    <t>oddjob-11.12.13.14</t>
  </si>
  <si>
    <t>bond-7.0.0.7</t>
  </si>
  <si>
    <t>powers-6.0.0.6</t>
  </si>
  <si>
    <t>net-2.3.4.0_25</t>
  </si>
  <si>
    <t>7.9.0.0 255.255.0.0</t>
  </si>
  <si>
    <t>net-7.9.0.0_16</t>
  </si>
  <si>
    <t>g3P-ECD</t>
  </si>
  <si>
    <t>grp-3PECD-minime</t>
  </si>
  <si>
    <t>grp-3P-ECD-minime</t>
  </si>
  <si>
    <t>Mini Me 3PECD Group</t>
  </si>
  <si>
    <t>DB-123456 Tracking ID# 78901235</t>
  </si>
  <si>
    <t>RDP</t>
  </si>
  <si>
    <t>Indy/KDC/VDC/MDCFW3PECD</t>
  </si>
  <si>
    <t>Ravenwood</t>
  </si>
  <si>
    <t>set static-route 5.6.7.0/24 nexthop gateway address 2.5.8.1 on
save config</t>
  </si>
  <si>
    <t>Indy</t>
  </si>
  <si>
    <t>2.3.4.0/23</t>
  </si>
  <si>
    <t>sysconfig -&gt; routing -&gt; add new network route
network: 2.3.4.0/23
netmask: 255.255.254.0
next hop: 6.5.4.32</t>
  </si>
  <si>
    <t xml:space="preserve">THIS TAB IS AN EXAMPLE ONLY -- DO NOT IMPLEMENT!!!!!                                           THIS TAB IS AN EXAMPLE ONLY -- DO NOT IMPLEMENT!!!!!                                                        THIS TAB IS AN EXAMPLE ONLY -- DO NOT IMPLEMENT!!!!!                              </t>
  </si>
  <si>
    <t>CommVault</t>
  </si>
  <si>
    <t>8400-8423</t>
  </si>
  <si>
    <t>vdcfwdr</t>
  </si>
  <si>
    <t>N/A</t>
  </si>
  <si>
    <t>Silo</t>
  </si>
  <si>
    <t>Least-01|471</t>
  </si>
  <si>
    <t>vdccofcvma.cof.ds.capitalone.com</t>
  </si>
  <si>
    <t>10.41.50.212</t>
  </si>
  <si>
    <t>vdccofcvma-10.41.50.212</t>
  </si>
  <si>
    <t>10.255.90.167
10.255.90.87
10.255.88.52
10.255.90.248
10.255.90.185
10.255.88.50
10.255.88.51
10.255.90.207</t>
  </si>
  <si>
    <t>pdcpdrmspsql.cof.ds.capitalone.com
pdcdrupcsapp.cof.ds.capitalone.com
drkrabbypants.kdc.capitalone.com
pdcdrvfbweb.cof.ds.capitalone.com
pdcdrcarsweb.cof.ds.capitalone.com
drscribemeds.kdc.capitalone.com
drash.kdc.capitalone.com
itracs-dr.corp.capitalonebank.com</t>
  </si>
  <si>
    <t>pdcpdrmspsql-10.255.90.167
pdcdrupcsapp-10.255.90.87
drkrabbypants-10.255.88.52
pdcdrvfbweb-10.255.90.248
pdcdrcarsweb-10.255.90.185
drscribemeds-10.255.88.50
drash-10.255.88.51
itracs-dr.corp-10.255.90.207</t>
  </si>
  <si>
    <t xml:space="preserve">PLEASE VERIFY THAT ACCESS IS NOT ALREADY IN PLACE PRIOR TO SUBMITTING YOUR REQUEST                                                                                        PLEASE VERIFY THAT ACCESS IS NOT ALREADY IN PLACE PRIOR TO SUBMITTING YOUR REQUEST   </t>
  </si>
  <si>
    <t>Anti-Spoofing group</t>
  </si>
  <si>
    <t>as-mdcfwionbe-bond.1234</t>
  </si>
  <si>
    <t>as-indy-bond.9876</t>
  </si>
  <si>
    <t>Revision Author: Brian Salazar</t>
  </si>
  <si>
    <t>10.14.25.33</t>
  </si>
  <si>
    <t>Selected CMA</t>
  </si>
  <si>
    <t>_3.3.3.3</t>
  </si>
  <si>
    <t>10.54.8.3</t>
  </si>
  <si>
    <t>192.168.0.0/16</t>
  </si>
  <si>
    <t>Gojku</t>
  </si>
  <si>
    <t>udp</t>
  </si>
  <si>
    <t>!gDHCP_User</t>
  </si>
  <si>
    <t>10.0.0.0/8</t>
  </si>
  <si>
    <t>Cascade-KDC3</t>
  </si>
  <si>
    <t>Coruscant-KDC3</t>
  </si>
  <si>
    <t>Crystal_NGX-KDC3</t>
  </si>
  <si>
    <t>Frankenstein-KDC3</t>
  </si>
  <si>
    <t>Gamera-KDC3</t>
  </si>
  <si>
    <t>Ravenwood-KDC3</t>
  </si>
  <si>
    <t>Silo-KDC3</t>
  </si>
  <si>
    <t>Macro Author: Frank Lowe</t>
  </si>
  <si>
    <t>The macro runs on each row of the Connection Details tab starting on row 6.</t>
  </si>
  <si>
    <t>Please do not add any comment lines at the top of the form.</t>
  </si>
  <si>
    <t>Do not merge any critical rows, lines. It will stop processing if there is a blank line.</t>
  </si>
  <si>
    <t>If it finds invalid IP input it will export 999.999.999.999 in reference to the bad data. Correct and rerun.</t>
  </si>
  <si>
    <t>999.999.999.999</t>
  </si>
  <si>
    <t>1.1.1.1</t>
  </si>
  <si>
    <t>00000001.00000001.00000001.00000001</t>
  </si>
  <si>
    <t>1.1.1.3</t>
  </si>
  <si>
    <t>00000001.00000001.00000001.00000011</t>
  </si>
  <si>
    <t>1.1.1.1/32-1.1.1.3/32</t>
  </si>
  <si>
    <t>10.5.0.0/24</t>
  </si>
  <si>
    <t>10.5.0.0</t>
  </si>
  <si>
    <t>00001010.00000101.00000000.00000000</t>
  </si>
  <si>
    <t>11111111.11111111.11111111.00000000</t>
  </si>
  <si>
    <t>1.1.1.1/32-1.1.1.3/32;10.5.0.0/24</t>
  </si>
  <si>
    <t>10.14.25.33/32</t>
  </si>
  <si>
    <t>TCP UDP</t>
  </si>
  <si>
    <t>TCP 8888;UDP 8888</t>
  </si>
  <si>
    <t>gDHCP_Users-rulebase test</t>
  </si>
  <si>
    <t>gDHCP_Users-rulebase</t>
  </si>
  <si>
    <t>test</t>
  </si>
  <si>
    <t>1.1.5.1</t>
  </si>
  <si>
    <t>00000001.00000001.00000101.00000001</t>
  </si>
  <si>
    <t>1.1.1.1/32-1.1.5.1/32</t>
  </si>
  <si>
    <t>TCP 443</t>
  </si>
  <si>
    <t>999.999.999.999/32</t>
  </si>
  <si>
    <t>10.54.8.3/32</t>
  </si>
  <si>
    <t>udp 23</t>
  </si>
  <si>
    <t>192.168.0.0</t>
  </si>
  <si>
    <t>11000000.10101000.00000000.00000000</t>
  </si>
  <si>
    <t>11111111.11111111.00000000.00000000</t>
  </si>
  <si>
    <t>Cascade-KDC3/Gojku</t>
  </si>
  <si>
    <t>10.0.0.0</t>
  </si>
  <si>
    <t>00001010.00000000.00000000.00000000</t>
  </si>
  <si>
    <t>11111111.00000000.00000000.00000000</t>
  </si>
  <si>
    <t>Cascade-KDC3/gDHCP_Users-rulebase;Cascade-KDC3/test</t>
  </si>
  <si>
    <t>Gateway</t>
  </si>
  <si>
    <t>SecureChange Task ID#</t>
  </si>
  <si>
    <t>Lemans-KDC3</t>
  </si>
  <si>
    <t>FWCMAFECD-KDC3</t>
  </si>
  <si>
    <t>kdcmgr01-KDC3</t>
  </si>
  <si>
    <t>FWCMALAB-KDC3</t>
  </si>
  <si>
    <r>
      <t>1)</t>
    </r>
    <r>
      <rPr>
        <sz val="7"/>
        <rFont val="Times New Roman"/>
        <family val="1"/>
      </rPr>
      <t xml:space="preserve">     </t>
    </r>
    <r>
      <rPr>
        <sz val="11"/>
        <rFont val="Arial"/>
        <family val="2"/>
      </rPr>
      <t>All changes, regardless of who is staging, need to be documented in full, with all required commands and references included as if the SOC was staging the change.</t>
    </r>
  </si>
  <si>
    <r>
      <t>2)</t>
    </r>
    <r>
      <rPr>
        <sz val="7"/>
        <rFont val="Times New Roman"/>
        <family val="1"/>
      </rPr>
      <t xml:space="preserve">     </t>
    </r>
    <r>
      <rPr>
        <sz val="11"/>
        <rFont val="Arial"/>
        <family val="2"/>
      </rPr>
      <t>Limit of 60 new objects or 40 total rules per request if the SOC is staging, any more, the submitting engineer needs to stage the change. Object and rule count includes any duplicate rules or objects that must be created on multiple firewalls and CMAs in order to complete the request.</t>
    </r>
  </si>
  <si>
    <r>
      <t>3)</t>
    </r>
    <r>
      <rPr>
        <sz val="7"/>
        <rFont val="Times New Roman"/>
        <family val="1"/>
      </rPr>
      <t xml:space="preserve">     </t>
    </r>
    <r>
      <rPr>
        <sz val="11"/>
        <rFont val="Arial"/>
        <family val="2"/>
      </rPr>
      <t>Any changes involving Woo require approval from ITO Network Security Engineering – Firewall Team to attach approval email to the change order. A TDD is also sufficient as one of the ITO Network Security Engineering Team members are involved in the approval process for TDDs.</t>
    </r>
  </si>
  <si>
    <r>
      <t>4)</t>
    </r>
    <r>
      <rPr>
        <sz val="7"/>
        <rFont val="Times New Roman"/>
        <family val="1"/>
      </rPr>
      <t xml:space="preserve">     </t>
    </r>
    <r>
      <rPr>
        <sz val="11"/>
        <rFont val="Arial"/>
        <family val="2"/>
      </rPr>
      <t>If a change requires a DBE, TDD, waiver or any other documentation approving the requested change, it needs to be attached to the change order.</t>
    </r>
  </si>
  <si>
    <r>
      <t>5)</t>
    </r>
    <r>
      <rPr>
        <sz val="7"/>
        <rFont val="Times New Roman"/>
        <family val="1"/>
      </rPr>
      <t xml:space="preserve">     </t>
    </r>
    <r>
      <rPr>
        <sz val="11"/>
        <rFont val="Arial"/>
        <family val="2"/>
      </rPr>
      <t>IP ranges cannot be used.</t>
    </r>
  </si>
  <si>
    <r>
      <t>6)</t>
    </r>
    <r>
      <rPr>
        <sz val="7"/>
        <rFont val="Times New Roman"/>
        <family val="1"/>
      </rPr>
      <t xml:space="preserve">     </t>
    </r>
    <r>
      <rPr>
        <sz val="11"/>
        <rFont val="Arial"/>
        <family val="2"/>
      </rPr>
      <t>Networks and port ranges can be used to eliminate using 3 or more objects.</t>
    </r>
  </si>
  <si>
    <r>
      <t>7)</t>
    </r>
    <r>
      <rPr>
        <sz val="7"/>
        <rFont val="Times New Roman"/>
        <family val="1"/>
      </rPr>
      <t xml:space="preserve">     </t>
    </r>
    <r>
      <rPr>
        <sz val="11"/>
        <rFont val="Arial"/>
        <family val="2"/>
      </rPr>
      <t>FMF must adhere to the Cap1 object naming standards as well as provide DBE and/or baseline references for requested traffic.</t>
    </r>
  </si>
  <si>
    <r>
      <t>8)</t>
    </r>
    <r>
      <rPr>
        <sz val="7"/>
        <rFont val="Times New Roman"/>
        <family val="1"/>
      </rPr>
      <t xml:space="preserve">     </t>
    </r>
    <r>
      <rPr>
        <sz val="11"/>
        <rFont val="Arial"/>
        <family val="2"/>
      </rPr>
      <t>Firewall Council unconditionally reserves the right to re-review any denied changes the next day.</t>
    </r>
  </si>
  <si>
    <r>
      <t>a.</t>
    </r>
    <r>
      <rPr>
        <sz val="7"/>
        <rFont val="Times New Roman"/>
        <family val="1"/>
      </rPr>
      <t xml:space="preserve">     </t>
    </r>
    <r>
      <rPr>
        <sz val="11"/>
        <rFont val="Arial"/>
        <family val="2"/>
      </rPr>
      <t>Due to the increasing number of denials and resubmitted change orders during the Firewall Council review, please note the following rules:</t>
    </r>
  </si>
  <si>
    <r>
      <t>1)</t>
    </r>
    <r>
      <rPr>
        <sz val="7"/>
        <rFont val="Times New Roman"/>
        <family val="1"/>
      </rPr>
      <t xml:space="preserve">     </t>
    </r>
    <r>
      <rPr>
        <sz val="11"/>
        <rFont val="Arial"/>
        <family val="2"/>
      </rPr>
      <t>Firewall Council Review will end at 4:00pm ET.</t>
    </r>
  </si>
  <si>
    <r>
      <t>2)</t>
    </r>
    <r>
      <rPr>
        <sz val="7"/>
        <rFont val="Times New Roman"/>
        <family val="1"/>
      </rPr>
      <t xml:space="preserve">     </t>
    </r>
    <r>
      <rPr>
        <sz val="11"/>
        <rFont val="Arial"/>
        <family val="2"/>
      </rPr>
      <t>All changes will be reviewed prior to reviewing any resubmitted/corrected change orders.</t>
    </r>
  </si>
  <si>
    <r>
      <t>3)</t>
    </r>
    <r>
      <rPr>
        <sz val="7"/>
        <rFont val="Times New Roman"/>
        <family val="1"/>
      </rPr>
      <t xml:space="preserve">     </t>
    </r>
    <r>
      <rPr>
        <sz val="11"/>
        <rFont val="Arial"/>
        <family val="2"/>
      </rPr>
      <t>Only the following non-technical corrections will be allowed for resubmittal/ correction on the same day’s firewall council:</t>
    </r>
  </si>
  <si>
    <r>
      <t>·</t>
    </r>
    <r>
      <rPr>
        <sz val="7"/>
        <rFont val="Times New Roman"/>
        <family val="1"/>
      </rPr>
      <t xml:space="preserve">        </t>
    </r>
    <r>
      <rPr>
        <sz val="11"/>
        <rFont val="Arial"/>
        <family val="2"/>
      </rPr>
      <t>Incorrect Planned Start/End Time</t>
    </r>
  </si>
  <si>
    <r>
      <t>·</t>
    </r>
    <r>
      <rPr>
        <sz val="7"/>
        <rFont val="Times New Roman"/>
        <family val="1"/>
      </rPr>
      <t xml:space="preserve">        </t>
    </r>
    <r>
      <rPr>
        <sz val="11"/>
        <rFont val="Arial"/>
        <family val="2"/>
      </rPr>
      <t>Risk Evaluation questions</t>
    </r>
  </si>
  <si>
    <r>
      <t>·</t>
    </r>
    <r>
      <rPr>
        <sz val="7"/>
        <rFont val="Times New Roman"/>
        <family val="1"/>
      </rPr>
      <t xml:space="preserve">        </t>
    </r>
    <r>
      <rPr>
        <sz val="11"/>
        <rFont val="Arial"/>
        <family val="2"/>
      </rPr>
      <t>Testing Scope</t>
    </r>
  </si>
  <si>
    <r>
      <t>·</t>
    </r>
    <r>
      <rPr>
        <sz val="7"/>
        <rFont val="Times New Roman"/>
        <family val="1"/>
      </rPr>
      <t xml:space="preserve">        </t>
    </r>
    <r>
      <rPr>
        <sz val="11"/>
        <rFont val="Arial"/>
        <family val="2"/>
      </rPr>
      <t>Incorrect Performing Group</t>
    </r>
  </si>
  <si>
    <r>
      <t>·</t>
    </r>
    <r>
      <rPr>
        <sz val="7"/>
        <rFont val="Times New Roman"/>
        <family val="1"/>
      </rPr>
      <t xml:space="preserve">        </t>
    </r>
    <r>
      <rPr>
        <sz val="11"/>
        <rFont val="Arial"/>
        <family val="2"/>
      </rPr>
      <t>ESOC and GLOBAL Tags</t>
    </r>
  </si>
  <si>
    <r>
      <t>·</t>
    </r>
    <r>
      <rPr>
        <sz val="7"/>
        <rFont val="Times New Roman"/>
        <family val="1"/>
      </rPr>
      <t xml:space="preserve">        </t>
    </r>
    <r>
      <rPr>
        <sz val="11"/>
        <rFont val="Arial"/>
        <family val="2"/>
      </rPr>
      <t>FMF Version</t>
    </r>
  </si>
  <si>
    <r>
      <t>·</t>
    </r>
    <r>
      <rPr>
        <sz val="7"/>
        <rFont val="Times New Roman"/>
        <family val="1"/>
      </rPr>
      <t xml:space="preserve">        </t>
    </r>
    <r>
      <rPr>
        <sz val="11"/>
        <rFont val="Arial"/>
        <family val="2"/>
      </rPr>
      <t>Incorrect Service CI</t>
    </r>
  </si>
  <si>
    <r>
      <t>·</t>
    </r>
    <r>
      <rPr>
        <sz val="7"/>
        <rFont val="Times New Roman"/>
        <family val="1"/>
      </rPr>
      <t xml:space="preserve">        </t>
    </r>
    <r>
      <rPr>
        <sz val="11"/>
        <rFont val="Arial"/>
        <family val="2"/>
      </rPr>
      <t>Corrupted or missing attachments that can be provided during the call</t>
    </r>
  </si>
  <si>
    <r>
      <t>4)</t>
    </r>
    <r>
      <rPr>
        <sz val="7"/>
        <rFont val="Times New Roman"/>
        <family val="1"/>
      </rPr>
      <t xml:space="preserve">     </t>
    </r>
    <r>
      <rPr>
        <sz val="11"/>
        <rFont val="Arial"/>
        <family val="2"/>
      </rPr>
      <t>If your change was denied for technical reasons and you need further guidance, please join the Engineering Open Office at 804.416.5130 passcode: 7500394, from 9:30 - 10:00am ET daily to discuss your change.</t>
    </r>
  </si>
  <si>
    <r>
      <t>9)</t>
    </r>
    <r>
      <rPr>
        <sz val="7"/>
        <rFont val="Times New Roman"/>
        <family val="1"/>
      </rPr>
      <t xml:space="preserve">     </t>
    </r>
    <r>
      <rPr>
        <sz val="11"/>
        <rFont val="Arial"/>
        <family val="2"/>
      </rPr>
      <t>Efforts should be made to add to existing rules while not giving more access than requested. Screenshots should be added (including rule comments section) to FMFs with instructions showing the exact rules that require the update. Tufin SecureChange will add to existing rules where applicable.</t>
    </r>
  </si>
  <si>
    <r>
      <t>10)</t>
    </r>
    <r>
      <rPr>
        <sz val="7"/>
        <rFont val="Times New Roman"/>
        <family val="1"/>
      </rPr>
      <t xml:space="preserve">  </t>
    </r>
    <r>
      <rPr>
        <sz val="11"/>
        <rFont val="Arial"/>
        <family val="2"/>
      </rPr>
      <t xml:space="preserve">Changes to support rule disable or deletion need to be marked </t>
    </r>
    <r>
      <rPr>
        <sz val="1"/>
        <rFont val="ZWAdobeF"/>
      </rPr>
      <t>U</t>
    </r>
    <r>
      <rPr>
        <b/>
        <u/>
        <sz val="11"/>
        <rFont val="Arial"/>
        <family val="2"/>
      </rPr>
      <t>high risk</t>
    </r>
    <r>
      <rPr>
        <sz val="1"/>
        <rFont val="ZWAdobeF"/>
      </rPr>
      <t>U</t>
    </r>
    <r>
      <rPr>
        <sz val="11"/>
        <rFont val="Arial"/>
        <family val="2"/>
      </rPr>
      <t>.</t>
    </r>
  </si>
  <si>
    <r>
      <t>11)</t>
    </r>
    <r>
      <rPr>
        <sz val="7"/>
        <rFont val="Times New Roman"/>
        <family val="1"/>
      </rPr>
      <t xml:space="preserve">  </t>
    </r>
    <r>
      <rPr>
        <sz val="11"/>
        <rFont val="Arial"/>
        <family val="2"/>
      </rPr>
      <t>Changes that request a rule to be disable need to have the following attached and outlined.</t>
    </r>
  </si>
  <si>
    <r>
      <t>a.</t>
    </r>
    <r>
      <rPr>
        <sz val="7"/>
        <rFont val="Times New Roman"/>
        <family val="1"/>
      </rPr>
      <t xml:space="preserve">     </t>
    </r>
    <r>
      <rPr>
        <sz val="11"/>
        <rFont val="Arial"/>
        <family val="2"/>
      </rPr>
      <t>Create a Word doc called “SOC Instructions &lt;CO#&gt;.doc”.</t>
    </r>
  </si>
  <si>
    <r>
      <t>b.</t>
    </r>
    <r>
      <rPr>
        <sz val="7"/>
        <rFont val="Times New Roman"/>
        <family val="1"/>
      </rPr>
      <t xml:space="preserve">     </t>
    </r>
    <r>
      <rPr>
        <sz val="11"/>
        <rFont val="Arial"/>
        <family val="2"/>
      </rPr>
      <t>Identify CMA/Firewall and rule number in the instructions doc with screen shots of the rule to be disabled.</t>
    </r>
  </si>
  <si>
    <r>
      <t>c.</t>
    </r>
    <r>
      <rPr>
        <sz val="7"/>
        <rFont val="Times New Roman"/>
        <family val="1"/>
      </rPr>
      <t xml:space="preserve">      </t>
    </r>
    <r>
      <rPr>
        <sz val="11"/>
        <rFont val="Arial"/>
        <family val="2"/>
      </rPr>
      <t>One of the following criteria must be met to determine if a rule can be removed:</t>
    </r>
  </si>
  <si>
    <r>
      <t>1)</t>
    </r>
    <r>
      <rPr>
        <sz val="7"/>
        <rFont val="Times New Roman"/>
        <family val="1"/>
      </rPr>
      <t xml:space="preserve">                    </t>
    </r>
    <r>
      <rPr>
        <sz val="11"/>
        <rFont val="Arial"/>
        <family val="2"/>
      </rPr>
      <t>Tufin report showing rule has not been used for 13 months (attach Tufin usage report to CO).</t>
    </r>
  </si>
  <si>
    <r>
      <t>2)</t>
    </r>
    <r>
      <rPr>
        <sz val="7"/>
        <rFont val="Times New Roman"/>
        <family val="1"/>
      </rPr>
      <t xml:space="preserve">                    </t>
    </r>
    <r>
      <rPr>
        <sz val="11"/>
        <rFont val="Arial"/>
        <family val="2"/>
      </rPr>
      <t>There is an expiring DBE (attach expired DBE to CO).</t>
    </r>
  </si>
  <si>
    <r>
      <t>3)</t>
    </r>
    <r>
      <rPr>
        <b/>
        <sz val="7"/>
        <rFont val="Times New Roman"/>
        <family val="1"/>
      </rPr>
      <t xml:space="preserve">     </t>
    </r>
    <r>
      <rPr>
        <sz val="11"/>
        <rFont val="Arial"/>
        <family val="2"/>
      </rPr>
      <t xml:space="preserve">In lieu of a no usage report or an expiring DBE, </t>
    </r>
    <r>
      <rPr>
        <sz val="1"/>
        <rFont val="ZWAdobeF"/>
      </rPr>
      <t>U</t>
    </r>
    <r>
      <rPr>
        <b/>
        <u/>
        <sz val="11"/>
        <rFont val="Arial"/>
        <family val="2"/>
      </rPr>
      <t>Director level approval is required. (</t>
    </r>
    <r>
      <rPr>
        <sz val="1"/>
        <rFont val="ZWAdobeF"/>
      </rPr>
      <t>U</t>
    </r>
    <r>
      <rPr>
        <sz val="11"/>
        <rFont val="Arial"/>
        <family val="2"/>
      </rPr>
      <t>Attach approval email to CO.)</t>
    </r>
  </si>
  <si>
    <r>
      <t>4)</t>
    </r>
    <r>
      <rPr>
        <sz val="7"/>
        <rFont val="Times New Roman"/>
        <family val="1"/>
      </rPr>
      <t xml:space="preserve">                    </t>
    </r>
    <r>
      <rPr>
        <sz val="11"/>
        <rFont val="Arial"/>
        <family val="2"/>
      </rPr>
      <t>There are CIs in HPSM showing “not in use” or other decommissioned status (attach Word document with screen shot of CI record showing “not in use”).</t>
    </r>
  </si>
  <si>
    <r>
      <t>d.</t>
    </r>
    <r>
      <rPr>
        <sz val="7"/>
        <rFont val="Times New Roman"/>
        <family val="1"/>
      </rPr>
      <t xml:space="preserve">     </t>
    </r>
    <r>
      <rPr>
        <sz val="11"/>
        <rFont val="Arial"/>
        <family val="2"/>
      </rPr>
      <t>Action:</t>
    </r>
  </si>
  <si>
    <r>
      <t>1)</t>
    </r>
    <r>
      <rPr>
        <sz val="7"/>
        <rFont val="Times New Roman"/>
        <family val="1"/>
      </rPr>
      <t xml:space="preserve">     </t>
    </r>
    <r>
      <rPr>
        <sz val="11"/>
        <rFont val="Arial"/>
        <family val="2"/>
      </rPr>
      <t>Disable entire rule.</t>
    </r>
  </si>
  <si>
    <t>OR</t>
  </si>
  <si>
    <r>
      <t>2)</t>
    </r>
    <r>
      <rPr>
        <sz val="7"/>
        <rFont val="Times New Roman"/>
        <family val="1"/>
      </rPr>
      <t xml:space="preserve">     </t>
    </r>
    <r>
      <rPr>
        <sz val="11"/>
        <rFont val="Arial"/>
        <family val="2"/>
      </rPr>
      <t>Modify rule by first copying the rule, disable the copied rule and modify original rule.</t>
    </r>
  </si>
  <si>
    <r>
      <t>e.</t>
    </r>
    <r>
      <rPr>
        <sz val="7"/>
        <rFont val="Times New Roman"/>
        <family val="1"/>
      </rPr>
      <t xml:space="preserve">     </t>
    </r>
    <r>
      <rPr>
        <sz val="11"/>
        <rFont val="Arial"/>
        <family val="2"/>
      </rPr>
      <t>Provide screenshot from either the policy or a Tufin report.</t>
    </r>
  </si>
  <si>
    <r>
      <t>f.</t>
    </r>
    <r>
      <rPr>
        <sz val="7"/>
        <rFont val="Times New Roman"/>
        <family val="1"/>
      </rPr>
      <t xml:space="preserve">       </t>
    </r>
    <r>
      <rPr>
        <sz val="11"/>
        <rFont val="Arial"/>
        <family val="2"/>
      </rPr>
      <t>For COs where rules are being disabled/removed because of expired DBEs, we have the same requirement as a regular disable/removal CO, including a 13-month usage report showing no hits, and/or approval from the business to remove those rules.</t>
    </r>
  </si>
  <si>
    <r>
      <t>12)</t>
    </r>
    <r>
      <rPr>
        <sz val="7"/>
        <rFont val="Times New Roman"/>
        <family val="1"/>
      </rPr>
      <t xml:space="preserve">  </t>
    </r>
    <r>
      <rPr>
        <sz val="11"/>
        <rFont val="Arial"/>
        <family val="2"/>
      </rPr>
      <t>Changes that request rule deletion need to have the following attached and outlined.</t>
    </r>
  </si>
  <si>
    <r>
      <t>a.</t>
    </r>
    <r>
      <rPr>
        <sz val="7"/>
        <rFont val="Times New Roman"/>
        <family val="1"/>
      </rPr>
      <t xml:space="preserve">     </t>
    </r>
    <r>
      <rPr>
        <sz val="11"/>
        <rFont val="Arial"/>
        <family val="2"/>
      </rPr>
      <t>The previous ‘rule disable’ CO related to this change must be listed in the description of the current CO.</t>
    </r>
  </si>
  <si>
    <r>
      <t>b.</t>
    </r>
    <r>
      <rPr>
        <sz val="7"/>
        <rFont val="Times New Roman"/>
        <family val="1"/>
      </rPr>
      <t xml:space="preserve">     </t>
    </r>
    <r>
      <rPr>
        <sz val="11"/>
        <rFont val="Arial"/>
        <family val="2"/>
      </rPr>
      <t>Create a Word doc called “SOC Instructions &lt;CO#&gt;.doc”.</t>
    </r>
  </si>
  <si>
    <r>
      <t>c.</t>
    </r>
    <r>
      <rPr>
        <sz val="7"/>
        <rFont val="Times New Roman"/>
        <family val="1"/>
      </rPr>
      <t xml:space="preserve">      </t>
    </r>
    <r>
      <rPr>
        <sz val="11"/>
        <rFont val="Arial"/>
        <family val="2"/>
      </rPr>
      <t>Identify CMA/Firewall and rule number.</t>
    </r>
  </si>
  <si>
    <r>
      <t>d.</t>
    </r>
    <r>
      <rPr>
        <sz val="7"/>
        <rFont val="Times New Roman"/>
        <family val="1"/>
      </rPr>
      <t xml:space="preserve">     </t>
    </r>
    <r>
      <rPr>
        <sz val="11"/>
        <rFont val="Arial"/>
        <family val="2"/>
      </rPr>
      <t>Action: delete rule</t>
    </r>
  </si>
  <si>
    <r>
      <t>e.</t>
    </r>
    <r>
      <rPr>
        <sz val="7"/>
        <rFont val="Times New Roman"/>
        <family val="1"/>
      </rPr>
      <t xml:space="preserve">     </t>
    </r>
    <r>
      <rPr>
        <sz val="11"/>
        <rFont val="Arial"/>
        <family val="2"/>
      </rPr>
      <t>Provide screenshot from either the policy or a Tufin report showing the disabled rule which is slated for deletion.</t>
    </r>
  </si>
  <si>
    <r>
      <t>f.</t>
    </r>
    <r>
      <rPr>
        <sz val="7"/>
        <rFont val="Times New Roman"/>
        <family val="1"/>
      </rPr>
      <t xml:space="preserve">       </t>
    </r>
    <r>
      <rPr>
        <sz val="11"/>
        <rFont val="Arial"/>
        <family val="2"/>
      </rPr>
      <t>Rule must have been disabled for 2 weeks before deletion.</t>
    </r>
  </si>
  <si>
    <r>
      <t>g.</t>
    </r>
    <r>
      <rPr>
        <sz val="7"/>
        <rFont val="Times New Roman"/>
        <family val="1"/>
      </rPr>
      <t xml:space="preserve">     </t>
    </r>
    <r>
      <rPr>
        <sz val="11"/>
        <rFont val="Arial"/>
        <family val="2"/>
      </rPr>
      <t>For COs where rules are being disabled/removed because of expired DBEs, we have the same requirement as a regular disable/removal CO, including a 13-month usage report showing no hits, and/or approval from the business to remove those rules.</t>
    </r>
  </si>
  <si>
    <r>
      <t>13)</t>
    </r>
    <r>
      <rPr>
        <sz val="7"/>
        <rFont val="Times New Roman"/>
        <family val="1"/>
      </rPr>
      <t xml:space="preserve">  </t>
    </r>
    <r>
      <rPr>
        <sz val="11"/>
        <rFont val="Arial"/>
        <family val="2"/>
      </rPr>
      <t>COs for removing objects from rules are high risk.  COs for removing objects from groups are high risk when the group is used in a rule.</t>
    </r>
  </si>
  <si>
    <r>
      <t>14)</t>
    </r>
    <r>
      <rPr>
        <sz val="7"/>
        <rFont val="Times New Roman"/>
        <family val="1"/>
      </rPr>
      <t xml:space="preserve">  </t>
    </r>
    <r>
      <rPr>
        <sz val="11"/>
        <rFont val="Arial"/>
        <family val="2"/>
      </rPr>
      <t>Business Validation:</t>
    </r>
  </si>
  <si>
    <r>
      <t>a.</t>
    </r>
    <r>
      <rPr>
        <sz val="7"/>
        <rFont val="Times New Roman"/>
        <family val="1"/>
      </rPr>
      <t xml:space="preserve">     </t>
    </r>
    <r>
      <rPr>
        <i/>
        <sz val="11"/>
        <rFont val="Arial"/>
        <family val="2"/>
      </rPr>
      <t>Case:</t>
    </r>
    <r>
      <rPr>
        <sz val="11"/>
        <rFont val="Arial"/>
        <family val="2"/>
      </rPr>
      <t xml:space="preserve"> New Environment where there is nothing to validate against. Reason should be explicitly stated in the CO and requires an explanation along with a plan of when the change can be validated. Should not require a waiver.</t>
    </r>
  </si>
  <si>
    <r>
      <t>b.</t>
    </r>
    <r>
      <rPr>
        <sz val="7"/>
        <rFont val="Times New Roman"/>
        <family val="1"/>
      </rPr>
      <t xml:space="preserve">     </t>
    </r>
    <r>
      <rPr>
        <i/>
        <sz val="11"/>
        <rFont val="Arial"/>
        <family val="2"/>
      </rPr>
      <t>Case:</t>
    </r>
    <r>
      <rPr>
        <sz val="11"/>
        <rFont val="Arial"/>
        <family val="2"/>
      </rPr>
      <t xml:space="preserve"> HIGH/MEDIUM risk changes where validation can’t occur during the change window (00:00 -06:00). For these an OOW approval or waiver approval is required. If OOW, the change window would be extended until the time validation will occur, or obtain waiver approval. A full explanation will be required and accepted by ITO Management for either case.  </t>
    </r>
  </si>
  <si>
    <r>
      <t>c.</t>
    </r>
    <r>
      <rPr>
        <sz val="7"/>
        <rFont val="Times New Roman"/>
        <family val="1"/>
      </rPr>
      <t xml:space="preserve">      </t>
    </r>
    <r>
      <rPr>
        <i/>
        <sz val="11"/>
        <rFont val="Arial"/>
        <family val="2"/>
      </rPr>
      <t xml:space="preserve">Case: </t>
    </r>
    <r>
      <rPr>
        <sz val="11"/>
        <rFont val="Arial"/>
        <family val="2"/>
      </rPr>
      <t>Telnet –should only be used for new environments where application is not present to validate against. The reason should be explicitly stated in the CO along with a full telnet validation plan. This is different than when there is nothing to validate against in the scenario one above.</t>
    </r>
  </si>
  <si>
    <r>
      <t>15)</t>
    </r>
    <r>
      <rPr>
        <sz val="7"/>
        <color rgb="FF000000"/>
        <rFont val="Times New Roman"/>
        <family val="1"/>
      </rPr>
      <t xml:space="preserve">  </t>
    </r>
    <r>
      <rPr>
        <sz val="11"/>
        <color rgb="FF000000"/>
        <rFont val="Arial"/>
        <family val="2"/>
      </rPr>
      <t xml:space="preserve">For COs that the SOC will be staging, only </t>
    </r>
    <r>
      <rPr>
        <sz val="1"/>
        <rFont val="ZWAdobeF"/>
      </rPr>
      <t>U</t>
    </r>
    <r>
      <rPr>
        <u/>
        <sz val="11"/>
        <color rgb="FF000000"/>
        <rFont val="Arial"/>
        <family val="2"/>
      </rPr>
      <t>one working document is allowed per CO</t>
    </r>
    <r>
      <rPr>
        <sz val="1"/>
        <rFont val="ZWAdobeF"/>
      </rPr>
      <t>U</t>
    </r>
    <r>
      <rPr>
        <sz val="11"/>
        <color rgb="FF000000"/>
        <rFont val="Arial"/>
        <family val="2"/>
      </rPr>
      <t>.</t>
    </r>
  </si>
  <si>
    <t>16)  Be aware of Uimpending change restrictionsU and work with your Change Coordinator to avoid change restriction dates.  Reference the 33TUChange Restriction CalendarU33T.</t>
  </si>
  <si>
    <r>
      <t>17)</t>
    </r>
    <r>
      <rPr>
        <sz val="7"/>
        <color rgb="FF000000"/>
        <rFont val="Times New Roman"/>
        <family val="1"/>
      </rPr>
      <t xml:space="preserve">  </t>
    </r>
    <r>
      <rPr>
        <sz val="11"/>
        <color rgb="FF000000"/>
        <rFont val="Arial"/>
        <family val="2"/>
      </rPr>
      <t>Any traffic from DQT Scrubbed -&gt; DQT NonScrubbed OR DQT NonScrubbed -&gt; DQT Scrubbed will require a DBE.  No other infosec approvals are necessary.</t>
    </r>
  </si>
  <si>
    <r>
      <t>a.</t>
    </r>
    <r>
      <rPr>
        <sz val="7"/>
        <color rgb="FF000000"/>
        <rFont val="Times New Roman"/>
        <family val="1"/>
      </rPr>
      <t xml:space="preserve">     </t>
    </r>
    <r>
      <rPr>
        <sz val="11"/>
        <color rgb="FF000000"/>
        <rFont val="Arial"/>
        <family val="2"/>
      </rPr>
      <t>The access request must be processed to the point of running designer within SecureChange including all required modifications to meet naming standards, correct service object usage and correct target policy selections.</t>
    </r>
  </si>
  <si>
    <r>
      <t>b.</t>
    </r>
    <r>
      <rPr>
        <sz val="7"/>
        <color rgb="FF000000"/>
        <rFont val="Times New Roman"/>
        <family val="1"/>
      </rPr>
      <t xml:space="preserve">     </t>
    </r>
    <r>
      <rPr>
        <sz val="11"/>
        <color rgb="FF000000"/>
        <rFont val="Arial"/>
        <family val="2"/>
      </rPr>
      <t>Place the task ID number in the title of the change order for easy reference and also place the task ID at the top of the FMF as specified.</t>
    </r>
  </si>
  <si>
    <r>
      <t>c.</t>
    </r>
    <r>
      <rPr>
        <sz val="7"/>
        <color rgb="FF000000"/>
        <rFont val="Times New Roman"/>
        <family val="1"/>
      </rPr>
      <t xml:space="preserve">      </t>
    </r>
    <r>
      <rPr>
        <sz val="11"/>
        <color rgb="FF000000"/>
        <rFont val="Arial"/>
        <family val="2"/>
      </rPr>
      <t>Rule Placement:</t>
    </r>
  </si>
  <si>
    <r>
      <t>1)</t>
    </r>
    <r>
      <rPr>
        <sz val="7"/>
        <color rgb="FF000000"/>
        <rFont val="Times New Roman"/>
        <family val="1"/>
      </rPr>
      <t xml:space="preserve">     </t>
    </r>
    <r>
      <rPr>
        <sz val="11"/>
        <color rgb="FF000000"/>
        <rFont val="Arial"/>
        <family val="2"/>
      </rPr>
      <t>If there is no existing rule and SC suggests to place the rule immediately above the clean-up rule, place the rule in the Misc. section of the rulebase.</t>
    </r>
  </si>
  <si>
    <r>
      <t>2)</t>
    </r>
    <r>
      <rPr>
        <sz val="7"/>
        <color rgb="FF000000"/>
        <rFont val="Times New Roman"/>
        <family val="1"/>
      </rPr>
      <t xml:space="preserve">     </t>
    </r>
    <r>
      <rPr>
        <sz val="11"/>
        <color rgb="FF000000"/>
        <rFont val="Arial"/>
        <family val="2"/>
      </rPr>
      <t>If SC suggest to place the rule anywhere else in the policy, this should be accepted unless the rule will be placed in the Allowances or Firewall Administration sections.</t>
    </r>
  </si>
  <si>
    <r>
      <t>3)</t>
    </r>
    <r>
      <rPr>
        <sz val="7"/>
        <color rgb="FF000000"/>
        <rFont val="Times New Roman"/>
        <family val="1"/>
      </rPr>
      <t xml:space="preserve">     </t>
    </r>
    <r>
      <rPr>
        <sz val="11"/>
        <color rgb="FF000000"/>
        <rFont val="Arial"/>
        <family val="2"/>
      </rPr>
      <t>Should you have a specific location for rule placement, modify the rule number within designer and also place this request in the notes portion of the rule within the FMF.</t>
    </r>
  </si>
  <si>
    <r>
      <t>d.</t>
    </r>
    <r>
      <rPr>
        <sz val="7"/>
        <color rgb="FF000000"/>
        <rFont val="Times New Roman"/>
        <family val="1"/>
      </rPr>
      <t xml:space="preserve">     </t>
    </r>
    <r>
      <rPr>
        <sz val="11"/>
        <color rgb="FF000000"/>
        <rFont val="Arial"/>
        <family val="2"/>
      </rPr>
      <t>Should there be any issues after running designer, for example a global service object being used even though a local object was specified, please include in the notes portion of the FMF instructions for SOC on how to correct the issue during staging.</t>
    </r>
  </si>
  <si>
    <r>
      <t>18)</t>
    </r>
    <r>
      <rPr>
        <sz val="7"/>
        <color rgb="FF000000"/>
        <rFont val="Times New Roman"/>
        <family val="1"/>
      </rPr>
      <t xml:space="preserve">  </t>
    </r>
    <r>
      <rPr>
        <sz val="11"/>
        <color rgb="FF000000"/>
        <rFont val="Arial"/>
        <family val="2"/>
      </rPr>
      <t>Tufin SecureChange must be used to stage any change that it is able to support, this includes rule additions and updates to existing local groups (</t>
    </r>
    <r>
      <rPr>
        <sz val="11"/>
        <rFont val="Arial"/>
        <family val="2"/>
      </rPr>
      <t xml:space="preserve">exclusion groups and </t>
    </r>
    <r>
      <rPr>
        <sz val="11"/>
        <color rgb="FF000000"/>
        <rFont val="Arial"/>
        <family val="2"/>
      </rPr>
      <t>global groups not in scope).
       When SecureChange is being leveraged a separate Tufin SecureTrack policy analysis will not be needed as SecureChange will fulfill that requirement.</t>
    </r>
  </si>
  <si>
    <t>19) Any modifications to the gDHCP_Users group will need to made on all platforms (Check Point, Palo Alto and Cisco). This will require 4 change orders and all should include the others in the “Related Records” section of the change order. Please be sure to have the correct “Service” in each change order, see below “Change Order Details” section “c” for the service listings.</t>
  </si>
  <si>
    <t>Cisco Recovery Syntax</t>
  </si>
  <si>
    <t>Cisco Implementation Syntax</t>
  </si>
  <si>
    <t>3PECD_L3</t>
  </si>
  <si>
    <t>Source Zone_x000D_
(Palo Alto)</t>
  </si>
  <si>
    <t>Destination Zone_x000D_
(Palo Alto)</t>
  </si>
  <si>
    <t>Rule Type_x000D_
(Palo Alto)</t>
  </si>
  <si>
    <t>Source Zone
(Palo Alto)</t>
  </si>
  <si>
    <t>Destination Zone
(Palo Alto)</t>
  </si>
  <si>
    <t>Target Device/Device Group</t>
  </si>
  <si>
    <t>5.6.7.8</t>
  </si>
  <si>
    <t>Zamasu</t>
  </si>
  <si>
    <t>zamasu-5.6.7.8</t>
  </si>
  <si>
    <t>RD_L3</t>
  </si>
  <si>
    <t>17.0.0.0/8</t>
  </si>
  <si>
    <t>Apple</t>
  </si>
  <si>
    <t>net-17.0.0.0_8</t>
  </si>
  <si>
    <t>ssl_x000D_
web-browsing</t>
  </si>
  <si>
    <t>DG-O365</t>
  </si>
  <si>
    <t>ashfw0365pa/seapachas</t>
  </si>
  <si>
    <t>Panorama</t>
  </si>
  <si>
    <t>Least-16|0</t>
  </si>
  <si>
    <t>NAT-6.7.8.9</t>
  </si>
  <si>
    <t>network-object 10.0.1.0 255.255.254.0</t>
  </si>
  <si>
    <t>access-list inside extended permit udp 10.0.1.0 255.255.254.0 10.5.3.2 255.255.255.255 eq snmp</t>
  </si>
  <si>
    <t>no network-object 10.0.1.0 255.255.254.0</t>
  </si>
  <si>
    <t>no access-list inside extended permit udp 10.0.1.0 255.255.254.0 10.5.3.2 255.255.255.255 eq snmp</t>
  </si>
  <si>
    <t>wr mem</t>
  </si>
  <si>
    <t>no network-object 10.5.3.2 255.255.255.255</t>
  </si>
  <si>
    <t>network-object 10.5.3.2 255.255.255.255</t>
  </si>
  <si>
    <t>net-10.0.1.0_23</t>
  </si>
  <si>
    <t>10.0.1.0 255.255.254.0</t>
  </si>
  <si>
    <t>10.5.3.2</t>
  </si>
  <si>
    <t>snmpcollector</t>
  </si>
  <si>
    <t>snmpcollector-10.5.3.2</t>
  </si>
  <si>
    <t>UDP</t>
  </si>
  <si>
    <t>SNMP</t>
  </si>
  <si>
    <t>DE01-PFW-VPN01A/B</t>
  </si>
  <si>
    <t>Least-01|37</t>
  </si>
  <si>
    <t>FMF version 10.4</t>
  </si>
  <si>
    <t>All Firewalls</t>
  </si>
  <si>
    <t>PAN Only</t>
  </si>
  <si>
    <t>Source Device Group_x000D_
(Palo Alto)</t>
  </si>
  <si>
    <t>Destination Device Group_x000D_
(Palo Alto)</t>
  </si>
  <si>
    <t>CheckPoint and Cisco</t>
  </si>
  <si>
    <t>ALL</t>
  </si>
  <si>
    <t>App-ID</t>
  </si>
  <si>
    <t>Universal</t>
  </si>
  <si>
    <t>For Palo Alto rules, App-IDs are required, and normal service (protocol &amp; ports) is prohibited.  Please see https://applipedia.paloaltonetworks.com/  for Palo Alto App-IDs.</t>
  </si>
  <si>
    <t>VDC-ION-Proxy-Inside</t>
  </si>
  <si>
    <t>Domain_Controllers-DS</t>
  </si>
  <si>
    <t>445
389
636
88
464
53
135</t>
  </si>
  <si>
    <t>tcp                                                                     TCP/UDP                                                            TCP                                                                                    TCP/UDP                                                                                    TCP                                                                    TCP/UDP                                                              TCP</t>
  </si>
  <si>
    <t>KDC-ION-Proxy-Inside</t>
  </si>
  <si>
    <t>MDC-ION-Proxy-Inside</t>
  </si>
  <si>
    <t>microsoft-ds         LDAP                    LDAP-SSL               kerberos                            kpasswd                               DNS                                    Netbios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</si>
</sst>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409]d\-mmm\-yyyy;@"/>
  </numFmts>
  <fonts count="59" x14ac:knownFonts="1">
    <font>
      <sz val="10"/>
      <name val="Arial"/>
    </font>
    <font>
      <sz val="10"/>
      <name val="Arial"/>
      <family val="2"/>
    </font>
    <font>
      <b/>
      <sz val="10"/>
      <name val="Arial"/>
      <family val="2"/>
    </font>
    <font>
      <sz val="8"/>
      <name val="Arial"/>
      <family val="2"/>
    </font>
    <font>
      <u/>
      <sz val="10"/>
      <color indexed="12"/>
      <name val="Arial"/>
      <family val="2"/>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name val="Wingdings"/>
      <charset val="2"/>
    </font>
    <font>
      <b/>
      <sz val="10"/>
      <color indexed="8"/>
      <name val="Arial"/>
      <family val="2"/>
    </font>
    <font>
      <sz val="8"/>
      <color indexed="81"/>
      <name val="Tahoma"/>
      <family val="2"/>
    </font>
    <font>
      <b/>
      <sz val="8"/>
      <color indexed="81"/>
      <name val="Tahoma"/>
      <family val="2"/>
    </font>
    <font>
      <sz val="10"/>
      <color indexed="8"/>
      <name val="Arial"/>
      <family val="2"/>
    </font>
    <font>
      <sz val="10"/>
      <name val="Arial"/>
      <family val="2"/>
    </font>
    <font>
      <sz val="10"/>
      <color indexed="8"/>
      <name val="Cambria"/>
      <family val="1"/>
    </font>
    <font>
      <sz val="10"/>
      <name val="Cambria"/>
      <family val="1"/>
    </font>
    <font>
      <b/>
      <sz val="16"/>
      <name val="Arial"/>
      <family val="2"/>
    </font>
    <font>
      <sz val="12"/>
      <name val="Times New Roman"/>
      <family val="1"/>
    </font>
    <font>
      <b/>
      <i/>
      <sz val="14"/>
      <name val="Arial"/>
      <family val="2"/>
    </font>
    <font>
      <b/>
      <sz val="13"/>
      <name val="Arial"/>
      <family val="2"/>
    </font>
    <font>
      <b/>
      <sz val="12"/>
      <name val="Times New Roman"/>
      <family val="1"/>
    </font>
    <font>
      <sz val="11.5"/>
      <name val="Times New Roman"/>
      <family val="1"/>
    </font>
    <font>
      <sz val="24"/>
      <name val="Arial"/>
      <family val="2"/>
    </font>
    <font>
      <b/>
      <sz val="14"/>
      <name val="Arial"/>
      <family val="2"/>
    </font>
    <font>
      <sz val="14"/>
      <name val="Arial"/>
      <family val="2"/>
    </font>
    <font>
      <sz val="11"/>
      <name val="Arial"/>
      <family val="2"/>
    </font>
    <font>
      <u/>
      <sz val="10"/>
      <color theme="10"/>
      <name val="Arial"/>
      <family val="2"/>
    </font>
    <font>
      <u/>
      <sz val="10"/>
      <color theme="11"/>
      <name val="Arial"/>
      <family val="2"/>
    </font>
    <font>
      <strike/>
      <sz val="10"/>
      <name val="Cambria"/>
      <family val="1"/>
    </font>
    <font>
      <b/>
      <u/>
      <sz val="11"/>
      <name val="Arial"/>
      <family val="2"/>
    </font>
    <font>
      <b/>
      <sz val="14"/>
      <color rgb="FFFFFF00"/>
      <name val="Arial"/>
      <family val="2"/>
    </font>
    <font>
      <sz val="9"/>
      <color indexed="81"/>
      <name val="Tahoma"/>
      <family val="2"/>
    </font>
    <font>
      <b/>
      <sz val="9"/>
      <color indexed="81"/>
      <name val="Tahoma"/>
      <family val="2"/>
    </font>
    <font>
      <sz val="11"/>
      <name val="Calibri"/>
      <family val="2"/>
    </font>
    <font>
      <sz val="7"/>
      <name val="Times New Roman"/>
      <family val="1"/>
    </font>
    <font>
      <sz val="11"/>
      <name val="Symbol"/>
      <family val="1"/>
      <charset val="2"/>
    </font>
    <font>
      <sz val="1"/>
      <name val="ZWAdobeF"/>
    </font>
    <font>
      <b/>
      <sz val="11"/>
      <name val="Arial"/>
      <family val="2"/>
    </font>
    <font>
      <b/>
      <sz val="7"/>
      <name val="Times New Roman"/>
      <family val="1"/>
    </font>
    <font>
      <i/>
      <sz val="11"/>
      <name val="Arial"/>
      <family val="2"/>
    </font>
    <font>
      <sz val="11"/>
      <color rgb="FF000000"/>
      <name val="Arial"/>
      <family val="2"/>
    </font>
    <font>
      <sz val="7"/>
      <color rgb="FF000000"/>
      <name val="Times New Roman"/>
      <family val="1"/>
    </font>
    <font>
      <u/>
      <sz val="11"/>
      <color rgb="FF000000"/>
      <name val="Arial"/>
      <family val="2"/>
    </font>
  </fonts>
  <fills count="41">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2"/>
        <bgColor indexed="64"/>
      </patternFill>
    </fill>
    <fill>
      <patternFill patternType="solid">
        <fgColor indexed="41"/>
        <bgColor indexed="64"/>
      </patternFill>
    </fill>
    <fill>
      <patternFill patternType="solid">
        <fgColor indexed="43"/>
        <bgColor indexed="64"/>
      </patternFill>
    </fill>
    <fill>
      <patternFill patternType="solid">
        <fgColor indexed="47"/>
        <bgColor indexed="64"/>
      </patternFill>
    </fill>
    <fill>
      <patternFill patternType="solid">
        <fgColor indexed="46"/>
        <bgColor indexed="64"/>
      </patternFill>
    </fill>
    <fill>
      <patternFill patternType="solid">
        <fgColor indexed="22"/>
        <bgColor indexed="64"/>
      </patternFill>
    </fill>
    <fill>
      <patternFill patternType="solid">
        <fgColor indexed="55"/>
        <bgColor indexed="64"/>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theme="8" tint="0.39994506668294322"/>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39997558519241921"/>
        <bgColor indexed="64"/>
      </patternFill>
    </fill>
  </fills>
  <borders count="1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style="thin">
        <color auto="1"/>
      </right>
      <top/>
      <bottom style="thin">
        <color auto="1"/>
      </bottom>
      <diagonal/>
    </border>
  </borders>
  <cellStyleXfs count="124">
    <xf numFmtId="0" fontId="0" fillId="0" borderId="0"/>
    <xf numFmtId="0" fontId="6" fillId="2" borderId="0" applyNumberFormat="0" applyBorder="0" applyAlignment="0" applyProtection="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5" borderId="0" applyNumberFormat="0" applyBorder="0" applyAlignment="0" applyProtection="0"/>
    <xf numFmtId="0" fontId="6" fillId="8" borderId="0" applyNumberFormat="0" applyBorder="0" applyAlignment="0" applyProtection="0"/>
    <xf numFmtId="0" fontId="6" fillId="11" borderId="0" applyNumberFormat="0" applyBorder="0" applyAlignment="0" applyProtection="0"/>
    <xf numFmtId="0" fontId="7" fillId="12"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9" borderId="0" applyNumberFormat="0" applyBorder="0" applyAlignment="0" applyProtection="0"/>
    <xf numFmtId="0" fontId="8" fillId="3" borderId="0" applyNumberFormat="0" applyBorder="0" applyAlignment="0" applyProtection="0"/>
    <xf numFmtId="0" fontId="9" fillId="20" borderId="1" applyNumberFormat="0" applyAlignment="0" applyProtection="0"/>
    <xf numFmtId="0" fontId="10" fillId="21" borderId="2" applyNumberFormat="0" applyAlignment="0" applyProtection="0"/>
    <xf numFmtId="0" fontId="11" fillId="0" borderId="0" applyNumberFormat="0" applyFill="0" applyBorder="0" applyAlignment="0" applyProtection="0"/>
    <xf numFmtId="0" fontId="12" fillId="4" borderId="0" applyNumberFormat="0" applyBorder="0" applyAlignment="0" applyProtection="0"/>
    <xf numFmtId="0" fontId="13" fillId="0" borderId="3" applyNumberFormat="0" applyFill="0" applyAlignment="0" applyProtection="0"/>
    <xf numFmtId="0" fontId="14" fillId="0" borderId="4" applyNumberFormat="0" applyFill="0" applyAlignment="0" applyProtection="0"/>
    <xf numFmtId="0" fontId="15" fillId="0" borderId="5" applyNumberFormat="0" applyFill="0" applyAlignment="0" applyProtection="0"/>
    <xf numFmtId="0" fontId="15" fillId="0" borderId="0" applyNumberFormat="0" applyFill="0" applyBorder="0" applyAlignment="0" applyProtection="0"/>
    <xf numFmtId="0" fontId="4" fillId="0" borderId="0" applyNumberFormat="0" applyFill="0" applyBorder="0" applyAlignment="0" applyProtection="0">
      <alignment vertical="top"/>
      <protection locked="0"/>
    </xf>
    <xf numFmtId="0" fontId="16" fillId="0" borderId="0" applyNumberFormat="0" applyFill="0" applyBorder="0" applyAlignment="0" applyProtection="0">
      <alignment vertical="top"/>
      <protection locked="0"/>
    </xf>
    <xf numFmtId="0" fontId="16" fillId="0" borderId="0" applyNumberFormat="0" applyFill="0" applyBorder="0" applyAlignment="0" applyProtection="0">
      <alignment vertical="top"/>
      <protection locked="0"/>
    </xf>
    <xf numFmtId="0" fontId="16" fillId="0" borderId="0" applyNumberFormat="0" applyFill="0" applyBorder="0" applyAlignment="0" applyProtection="0">
      <alignment vertical="top"/>
      <protection locked="0"/>
    </xf>
    <xf numFmtId="0" fontId="16" fillId="0" borderId="0" applyNumberFormat="0" applyFill="0" applyBorder="0" applyAlignment="0" applyProtection="0">
      <alignment vertical="top"/>
      <protection locked="0"/>
    </xf>
    <xf numFmtId="0" fontId="16" fillId="0" borderId="0" applyNumberFormat="0" applyFill="0" applyBorder="0" applyAlignment="0" applyProtection="0">
      <alignment vertical="top"/>
      <protection locked="0"/>
    </xf>
    <xf numFmtId="0" fontId="16" fillId="0" borderId="0" applyNumberFormat="0" applyFill="0" applyBorder="0" applyAlignment="0" applyProtection="0">
      <alignment vertical="top"/>
      <protection locked="0"/>
    </xf>
    <xf numFmtId="0" fontId="17" fillId="7" borderId="1" applyNumberFormat="0" applyAlignment="0" applyProtection="0"/>
    <xf numFmtId="0" fontId="18" fillId="0" borderId="6" applyNumberFormat="0" applyFill="0" applyAlignment="0" applyProtection="0"/>
    <xf numFmtId="0" fontId="19" fillId="22"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 fillId="0" borderId="0"/>
    <xf numFmtId="0" fontId="1" fillId="23" borderId="7" applyNumberFormat="0" applyFont="0" applyAlignment="0" applyProtection="0"/>
    <xf numFmtId="0" fontId="20" fillId="20" borderId="8" applyNumberFormat="0" applyAlignment="0" applyProtection="0"/>
    <xf numFmtId="0" fontId="21" fillId="0" borderId="0" applyNumberFormat="0" applyFill="0" applyBorder="0" applyAlignment="0" applyProtection="0"/>
    <xf numFmtId="0" fontId="22" fillId="0" borderId="9" applyNumberFormat="0" applyFill="0" applyAlignment="0" applyProtection="0"/>
    <xf numFmtId="0" fontId="2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cellStyleXfs>
  <cellXfs count="154">
    <xf numFmtId="0" fontId="0" fillId="0" borderId="0" xfId="0"/>
    <xf numFmtId="0" fontId="2" fillId="0" borderId="0" xfId="0" applyFont="1" applyFill="1" applyAlignment="1">
      <alignment horizontal="center"/>
    </xf>
    <xf numFmtId="0" fontId="2" fillId="0" borderId="0" xfId="0" applyFont="1" applyAlignment="1">
      <alignment horizontal="center"/>
    </xf>
    <xf numFmtId="0" fontId="0" fillId="0" borderId="0" xfId="0" applyFill="1" applyBorder="1" applyAlignment="1">
      <alignment wrapText="1"/>
    </xf>
    <xf numFmtId="0" fontId="1" fillId="0" borderId="0" xfId="73" applyAlignment="1">
      <alignment wrapText="1"/>
    </xf>
    <xf numFmtId="0" fontId="1" fillId="0" borderId="0" xfId="73" applyFont="1" applyAlignment="1">
      <alignment wrapText="1"/>
    </xf>
    <xf numFmtId="0" fontId="1" fillId="0" borderId="10" xfId="73" applyFont="1" applyBorder="1" applyAlignment="1">
      <alignment wrapText="1"/>
    </xf>
    <xf numFmtId="0" fontId="2" fillId="24" borderId="10" xfId="73" applyFont="1" applyFill="1" applyBorder="1" applyAlignment="1">
      <alignment horizontal="center" wrapText="1"/>
    </xf>
    <xf numFmtId="0" fontId="2" fillId="25" borderId="10" xfId="73" applyFont="1" applyFill="1" applyBorder="1" applyAlignment="1">
      <alignment horizontal="center" wrapText="1"/>
    </xf>
    <xf numFmtId="0" fontId="2" fillId="26" borderId="10" xfId="73" applyFont="1" applyFill="1" applyBorder="1" applyAlignment="1">
      <alignment horizontal="center" wrapText="1"/>
    </xf>
    <xf numFmtId="0" fontId="2" fillId="27" borderId="10" xfId="73" applyFont="1" applyFill="1" applyBorder="1" applyAlignment="1">
      <alignment horizontal="center" wrapText="1"/>
    </xf>
    <xf numFmtId="1" fontId="2" fillId="28" borderId="10" xfId="73" applyNumberFormat="1" applyFont="1" applyFill="1" applyBorder="1" applyAlignment="1">
      <alignment horizontal="center" wrapText="1"/>
    </xf>
    <xf numFmtId="0" fontId="2" fillId="29" borderId="10" xfId="0" applyFont="1" applyFill="1" applyBorder="1" applyAlignment="1">
      <alignment horizontal="center" wrapText="1"/>
    </xf>
    <xf numFmtId="0" fontId="25" fillId="29" borderId="11" xfId="0" applyFont="1" applyFill="1" applyBorder="1" applyAlignment="1">
      <alignment horizontal="center" vertical="top" wrapText="1"/>
    </xf>
    <xf numFmtId="0" fontId="28" fillId="29" borderId="12" xfId="0" applyNumberFormat="1" applyFont="1" applyFill="1" applyBorder="1" applyAlignment="1">
      <alignment horizontal="center" vertical="top" wrapText="1"/>
    </xf>
    <xf numFmtId="0" fontId="29" fillId="0" borderId="0" xfId="73" applyFont="1" applyBorder="1" applyAlignment="1">
      <alignment wrapText="1"/>
    </xf>
    <xf numFmtId="0" fontId="24" fillId="0" borderId="0" xfId="0" applyFont="1" applyFill="1" applyBorder="1" applyAlignment="1">
      <alignment wrapText="1"/>
    </xf>
    <xf numFmtId="0" fontId="29" fillId="0" borderId="0" xfId="0" applyFont="1" applyFill="1" applyBorder="1" applyAlignment="1">
      <alignment wrapText="1"/>
    </xf>
    <xf numFmtId="0" fontId="2" fillId="29" borderId="10" xfId="0" applyFont="1" applyFill="1" applyBorder="1" applyAlignment="1">
      <alignment wrapText="1"/>
    </xf>
    <xf numFmtId="0" fontId="0" fillId="0" borderId="0" xfId="0" applyFill="1" applyBorder="1" applyAlignment="1">
      <alignment horizontal="center" wrapText="1"/>
    </xf>
    <xf numFmtId="0" fontId="1" fillId="0" borderId="10" xfId="73" applyFont="1" applyBorder="1" applyAlignment="1">
      <alignment horizontal="center" wrapText="1"/>
    </xf>
    <xf numFmtId="0" fontId="0" fillId="30" borderId="10" xfId="0" applyNumberFormat="1" applyFill="1" applyBorder="1" applyAlignment="1">
      <alignment wrapText="1"/>
    </xf>
    <xf numFmtId="0" fontId="30" fillId="24" borderId="10" xfId="50" applyFont="1" applyFill="1" applyBorder="1" applyAlignment="1">
      <alignment horizontal="center" vertical="center" wrapText="1"/>
    </xf>
    <xf numFmtId="0" fontId="30" fillId="25" borderId="10" xfId="50" applyFont="1" applyFill="1" applyBorder="1" applyAlignment="1">
      <alignment horizontal="center" vertical="center" wrapText="1"/>
    </xf>
    <xf numFmtId="0" fontId="31" fillId="26" borderId="10" xfId="73" applyFont="1" applyFill="1" applyBorder="1" applyAlignment="1">
      <alignment horizontal="center" vertical="center" wrapText="1"/>
    </xf>
    <xf numFmtId="0" fontId="31" fillId="27" borderId="10" xfId="73" applyFont="1" applyFill="1" applyBorder="1" applyAlignment="1">
      <alignment horizontal="center" vertical="center" wrapText="1"/>
    </xf>
    <xf numFmtId="1" fontId="31" fillId="28" borderId="10" xfId="73" applyNumberFormat="1" applyFont="1" applyFill="1" applyBorder="1" applyAlignment="1">
      <alignment horizontal="center" vertical="center" wrapText="1"/>
    </xf>
    <xf numFmtId="0" fontId="31" fillId="29" borderId="10" xfId="0" applyFont="1" applyFill="1" applyBorder="1" applyAlignment="1">
      <alignment horizontal="center" vertical="center" wrapText="1"/>
    </xf>
    <xf numFmtId="0" fontId="24" fillId="29" borderId="10" xfId="0" applyFont="1" applyFill="1" applyBorder="1" applyAlignment="1">
      <alignment horizontal="center" vertical="center" wrapText="1"/>
    </xf>
    <xf numFmtId="0" fontId="2" fillId="31" borderId="0" xfId="0" applyFont="1" applyFill="1" applyAlignment="1">
      <alignment horizontal="left"/>
    </xf>
    <xf numFmtId="164" fontId="2" fillId="31" borderId="0" xfId="0" applyNumberFormat="1" applyFont="1" applyFill="1" applyAlignment="1">
      <alignment horizontal="left"/>
    </xf>
    <xf numFmtId="0" fontId="2" fillId="32" borderId="0" xfId="0" applyFont="1" applyFill="1" applyAlignment="1">
      <alignment horizontal="left"/>
    </xf>
    <xf numFmtId="0" fontId="2" fillId="33" borderId="0" xfId="0" applyFont="1" applyFill="1" applyAlignment="1">
      <alignment horizontal="left"/>
    </xf>
    <xf numFmtId="0" fontId="2" fillId="29" borderId="13" xfId="73" applyFont="1" applyFill="1" applyBorder="1" applyAlignment="1">
      <alignment horizontal="center" wrapText="1"/>
    </xf>
    <xf numFmtId="0" fontId="2" fillId="29" borderId="13" xfId="0" applyFont="1" applyFill="1" applyBorder="1" applyAlignment="1">
      <alignment horizontal="center" wrapText="1"/>
    </xf>
    <xf numFmtId="0" fontId="1" fillId="0" borderId="14" xfId="73" applyFont="1" applyBorder="1" applyAlignment="1">
      <alignment horizontal="center" wrapText="1"/>
    </xf>
    <xf numFmtId="0" fontId="33" fillId="0" borderId="0" xfId="0" applyFont="1" applyAlignment="1">
      <alignment vertical="center"/>
    </xf>
    <xf numFmtId="0" fontId="0" fillId="0" borderId="0" xfId="0" applyAlignment="1">
      <alignment wrapText="1"/>
    </xf>
    <xf numFmtId="0" fontId="32" fillId="0" borderId="0" xfId="0" applyFont="1" applyAlignment="1">
      <alignment horizontal="center" vertical="center" wrapText="1"/>
    </xf>
    <xf numFmtId="0" fontId="33" fillId="0" borderId="0" xfId="0" applyFont="1" applyAlignment="1">
      <alignment horizontal="center" vertical="center" wrapText="1"/>
    </xf>
    <xf numFmtId="0" fontId="34" fillId="0" borderId="0" xfId="0" applyFont="1" applyAlignment="1">
      <alignment vertical="center" wrapText="1"/>
    </xf>
    <xf numFmtId="0" fontId="35" fillId="0" borderId="0" xfId="0" applyFont="1" applyAlignment="1">
      <alignment vertical="center" wrapText="1"/>
    </xf>
    <xf numFmtId="0" fontId="33" fillId="0" borderId="0" xfId="0" applyFont="1" applyAlignment="1">
      <alignment horizontal="left" vertical="center" wrapText="1" indent="1"/>
    </xf>
    <xf numFmtId="0" fontId="33" fillId="0" borderId="0" xfId="0" applyFont="1" applyAlignment="1">
      <alignment vertical="center" wrapText="1"/>
    </xf>
    <xf numFmtId="0" fontId="37" fillId="0" borderId="0" xfId="0" applyFont="1" applyAlignment="1">
      <alignment vertical="center" wrapText="1"/>
    </xf>
    <xf numFmtId="0" fontId="33" fillId="0" borderId="0" xfId="0" applyFont="1" applyAlignment="1">
      <alignment horizontal="left" vertical="center" wrapText="1" indent="2"/>
    </xf>
    <xf numFmtId="0" fontId="33" fillId="0" borderId="0" xfId="0" applyFont="1" applyAlignment="1">
      <alignment horizontal="left" vertical="center" wrapText="1" indent="4"/>
    </xf>
    <xf numFmtId="0" fontId="33" fillId="0" borderId="0" xfId="0" applyFont="1" applyAlignment="1">
      <alignment horizontal="left" vertical="center" wrapText="1" indent="3"/>
    </xf>
    <xf numFmtId="0" fontId="36" fillId="0" borderId="0" xfId="0" applyFont="1" applyAlignment="1">
      <alignment horizontal="center" vertical="center" wrapText="1"/>
    </xf>
    <xf numFmtId="0" fontId="2" fillId="29" borderId="10" xfId="73" applyFont="1" applyFill="1" applyBorder="1" applyAlignment="1">
      <alignment horizontal="center" wrapText="1"/>
    </xf>
    <xf numFmtId="0" fontId="2" fillId="34" borderId="10" xfId="0" applyFont="1" applyFill="1" applyBorder="1" applyAlignment="1">
      <alignment horizontal="center" wrapText="1"/>
    </xf>
    <xf numFmtId="0" fontId="30" fillId="34" borderId="10" xfId="50" applyFont="1" applyFill="1" applyBorder="1" applyAlignment="1">
      <alignment horizontal="center" vertical="center" wrapText="1"/>
    </xf>
    <xf numFmtId="0" fontId="31" fillId="34" borderId="10" xfId="0" applyFont="1" applyFill="1" applyBorder="1" applyAlignment="1">
      <alignment horizontal="center" vertical="center" wrapText="1"/>
    </xf>
    <xf numFmtId="0" fontId="29" fillId="34" borderId="16" xfId="73" applyFont="1" applyFill="1" applyBorder="1" applyAlignment="1">
      <alignment wrapText="1"/>
    </xf>
    <xf numFmtId="0" fontId="30" fillId="25" borderId="16" xfId="50" applyFont="1" applyFill="1" applyBorder="1" applyAlignment="1">
      <alignment horizontal="center" vertical="center" wrapText="1"/>
    </xf>
    <xf numFmtId="0" fontId="2" fillId="29" borderId="15" xfId="73" applyFont="1" applyFill="1" applyBorder="1" applyAlignment="1">
      <alignment horizontal="center" wrapText="1"/>
    </xf>
    <xf numFmtId="0" fontId="1" fillId="0" borderId="10" xfId="73" applyFont="1" applyBorder="1" applyAlignment="1">
      <alignment horizontal="left" vertical="center" wrapText="1"/>
    </xf>
    <xf numFmtId="0" fontId="0" fillId="0" borderId="10" xfId="73" applyFont="1" applyBorder="1" applyAlignment="1">
      <alignment wrapText="1"/>
    </xf>
    <xf numFmtId="0" fontId="0" fillId="0" borderId="10" xfId="73" applyFont="1" applyBorder="1" applyAlignment="1">
      <alignment horizontal="left" vertical="center" wrapText="1"/>
    </xf>
    <xf numFmtId="0" fontId="0" fillId="0" borderId="14" xfId="73" applyFont="1" applyBorder="1" applyAlignment="1">
      <alignment horizontal="center" wrapText="1"/>
    </xf>
    <xf numFmtId="0" fontId="0" fillId="0" borderId="10" xfId="73" applyFont="1" applyBorder="1" applyAlignment="1">
      <alignment horizontal="center" wrapText="1"/>
    </xf>
    <xf numFmtId="0" fontId="28" fillId="24" borderId="10" xfId="50" applyFont="1" applyFill="1" applyBorder="1" applyAlignment="1">
      <alignment horizontal="center" vertical="center" wrapText="1"/>
    </xf>
    <xf numFmtId="0" fontId="1" fillId="0" borderId="14" xfId="73" applyFont="1" applyBorder="1" applyAlignment="1">
      <alignment wrapText="1"/>
    </xf>
    <xf numFmtId="0" fontId="2" fillId="29" borderId="15" xfId="73" applyFont="1" applyFill="1" applyBorder="1" applyAlignment="1">
      <alignment horizontal="center" wrapText="1"/>
    </xf>
    <xf numFmtId="0" fontId="0" fillId="0" borderId="14" xfId="73" applyFont="1" applyBorder="1" applyAlignment="1">
      <alignment wrapText="1"/>
    </xf>
    <xf numFmtId="0" fontId="0" fillId="0" borderId="10" xfId="0" applyFill="1" applyBorder="1" applyAlignment="1">
      <alignment horizontal="center" wrapText="1"/>
    </xf>
    <xf numFmtId="0" fontId="1" fillId="0" borderId="10" xfId="0" applyFont="1" applyFill="1" applyBorder="1" applyAlignment="1">
      <alignment horizontal="center" wrapText="1"/>
    </xf>
    <xf numFmtId="0" fontId="0" fillId="0" borderId="0" xfId="0" applyBorder="1" applyAlignment="1">
      <alignment wrapText="1"/>
    </xf>
    <xf numFmtId="0" fontId="49" fillId="0" borderId="0" xfId="0" applyFont="1"/>
    <xf numFmtId="0" fontId="1" fillId="0" borderId="0" xfId="0" applyFont="1"/>
    <xf numFmtId="0" fontId="2" fillId="34" borderId="10" xfId="73" applyFont="1" applyFill="1" applyBorder="1" applyAlignment="1">
      <alignment horizontal="center" vertical="center" wrapText="1"/>
    </xf>
    <xf numFmtId="0" fontId="2" fillId="34" borderId="10" xfId="0" applyFont="1" applyFill="1" applyBorder="1" applyAlignment="1">
      <alignment horizontal="center" vertical="center" wrapText="1"/>
    </xf>
    <xf numFmtId="0" fontId="29" fillId="34" borderId="16" xfId="73" applyFont="1" applyFill="1" applyBorder="1" applyAlignment="1">
      <alignment vertical="center" wrapText="1"/>
    </xf>
    <xf numFmtId="0" fontId="29" fillId="34" borderId="16" xfId="73" applyFont="1" applyFill="1" applyBorder="1" applyAlignment="1">
      <alignment horizontal="center" vertical="center" wrapText="1"/>
    </xf>
    <xf numFmtId="0" fontId="28" fillId="29" borderId="12" xfId="0" applyNumberFormat="1" applyFont="1" applyFill="1" applyBorder="1" applyAlignment="1">
      <alignment vertical="center" wrapText="1"/>
    </xf>
    <xf numFmtId="0" fontId="38" fillId="0" borderId="0" xfId="0" applyFont="1" applyAlignment="1">
      <alignment horizontal="center" vertical="center" wrapText="1"/>
    </xf>
    <xf numFmtId="0" fontId="41" fillId="0" borderId="0" xfId="0" applyFont="1" applyAlignment="1">
      <alignment horizontal="left" vertical="center" wrapText="1"/>
    </xf>
    <xf numFmtId="0" fontId="51" fillId="0" borderId="0" xfId="0" applyFont="1" applyAlignment="1">
      <alignment horizontal="left" vertical="center" wrapText="1"/>
    </xf>
    <xf numFmtId="0" fontId="53" fillId="0" borderId="0" xfId="0" applyFont="1" applyAlignment="1">
      <alignment horizontal="left" vertical="center" wrapText="1"/>
    </xf>
    <xf numFmtId="0" fontId="56" fillId="0" borderId="0" xfId="0" applyFont="1" applyAlignment="1">
      <alignment horizontal="left" vertical="center" wrapText="1"/>
    </xf>
    <xf numFmtId="0" fontId="42" fillId="0" borderId="0" xfId="123" applyAlignment="1">
      <alignment horizontal="left" vertical="center" wrapText="1"/>
    </xf>
    <xf numFmtId="0" fontId="2" fillId="29" borderId="15" xfId="73" applyFont="1" applyFill="1" applyBorder="1" applyAlignment="1">
      <alignment horizontal="center" wrapText="1"/>
    </xf>
    <xf numFmtId="0" fontId="1" fillId="0" borderId="14" xfId="73" applyFont="1" applyBorder="1" applyAlignment="1">
      <alignment wrapText="1"/>
    </xf>
    <xf numFmtId="0" fontId="0" fillId="0" borderId="14" xfId="73" applyFont="1" applyBorder="1" applyAlignment="1">
      <alignment wrapText="1"/>
    </xf>
    <xf numFmtId="0" fontId="2" fillId="34" borderId="10" xfId="73" applyFont="1" applyFill="1" applyBorder="1" applyAlignment="1">
      <alignment horizontal="center" wrapText="1"/>
    </xf>
    <xf numFmtId="0" fontId="2" fillId="29" borderId="15" xfId="0" applyFont="1" applyFill="1" applyBorder="1" applyAlignment="1">
      <alignment horizontal="center" wrapText="1"/>
    </xf>
    <xf numFmtId="0" fontId="1" fillId="25" borderId="10" xfId="73" applyFont="1" applyFill="1" applyBorder="1" applyAlignment="1">
      <alignment horizontal="center" vertical="center" wrapText="1"/>
    </xf>
    <xf numFmtId="0" fontId="1" fillId="26" borderId="10" xfId="73" applyFont="1" applyFill="1" applyBorder="1" applyAlignment="1">
      <alignment horizontal="center" vertical="center" wrapText="1"/>
    </xf>
    <xf numFmtId="0" fontId="1" fillId="27" borderId="10" xfId="73" applyFont="1" applyFill="1" applyBorder="1" applyAlignment="1">
      <alignment horizontal="center" vertical="center"/>
    </xf>
    <xf numFmtId="1" fontId="1" fillId="28" borderId="10" xfId="73" applyNumberFormat="1" applyFont="1" applyFill="1" applyBorder="1" applyAlignment="1">
      <alignment horizontal="center" vertical="center" wrapText="1"/>
    </xf>
    <xf numFmtId="0" fontId="1" fillId="29" borderId="10" xfId="0" applyFont="1" applyFill="1" applyBorder="1" applyAlignment="1">
      <alignment horizontal="center" vertical="center"/>
    </xf>
    <xf numFmtId="0" fontId="1" fillId="29" borderId="10" xfId="0" applyFont="1" applyFill="1" applyBorder="1" applyAlignment="1">
      <alignment horizontal="center" vertical="center" wrapText="1"/>
    </xf>
    <xf numFmtId="0" fontId="39" fillId="38" borderId="10" xfId="0" applyFont="1" applyFill="1" applyBorder="1" applyAlignment="1">
      <alignment horizontal="center" wrapText="1"/>
    </xf>
    <xf numFmtId="0" fontId="39" fillId="39" borderId="10" xfId="0" applyFont="1" applyFill="1" applyBorder="1" applyAlignment="1">
      <alignment horizontal="center" wrapText="1"/>
    </xf>
    <xf numFmtId="0" fontId="39" fillId="37" borderId="10" xfId="0" applyFont="1" applyFill="1" applyBorder="1" applyAlignment="1">
      <alignment horizontal="center" wrapText="1"/>
    </xf>
    <xf numFmtId="0" fontId="31" fillId="29" borderId="10" xfId="0" applyFont="1" applyFill="1" applyBorder="1" applyAlignment="1">
      <alignment horizontal="center" vertical="center" wrapText="1"/>
    </xf>
    <xf numFmtId="0" fontId="1" fillId="0" borderId="14" xfId="73" applyFont="1" applyBorder="1" applyAlignment="1">
      <alignment wrapText="1"/>
    </xf>
    <xf numFmtId="0" fontId="1" fillId="0" borderId="16" xfId="73" applyFont="1" applyBorder="1" applyAlignment="1">
      <alignment wrapText="1"/>
    </xf>
    <xf numFmtId="0" fontId="0" fillId="0" borderId="14" xfId="73" applyFont="1" applyBorder="1" applyAlignment="1">
      <alignment wrapText="1"/>
    </xf>
    <xf numFmtId="0" fontId="0" fillId="0" borderId="16" xfId="73" applyFont="1" applyBorder="1" applyAlignment="1">
      <alignment wrapText="1"/>
    </xf>
    <xf numFmtId="0" fontId="0" fillId="0" borderId="17" xfId="0" applyBorder="1" applyAlignment="1">
      <alignment wrapText="1"/>
    </xf>
    <xf numFmtId="0" fontId="0" fillId="0" borderId="16" xfId="0" applyBorder="1" applyAlignment="1">
      <alignment wrapText="1"/>
    </xf>
    <xf numFmtId="0" fontId="2" fillId="29" borderId="14" xfId="73" applyFont="1" applyFill="1" applyBorder="1" applyAlignment="1">
      <alignment horizontal="center" wrapText="1"/>
    </xf>
    <xf numFmtId="0" fontId="0" fillId="0" borderId="17" xfId="0" applyBorder="1" applyAlignment="1">
      <alignment horizontal="center" wrapText="1"/>
    </xf>
    <xf numFmtId="0" fontId="2" fillId="29" borderId="16" xfId="73" applyFont="1" applyFill="1" applyBorder="1" applyAlignment="1">
      <alignment horizontal="center" wrapText="1"/>
    </xf>
    <xf numFmtId="0" fontId="2" fillId="29" borderId="17" xfId="73" applyFont="1" applyFill="1" applyBorder="1" applyAlignment="1">
      <alignment horizontal="center" wrapText="1"/>
    </xf>
    <xf numFmtId="0" fontId="39" fillId="24" borderId="10" xfId="73" applyFont="1" applyFill="1" applyBorder="1" applyAlignment="1">
      <alignment horizontal="center" wrapText="1"/>
    </xf>
    <xf numFmtId="0" fontId="40" fillId="0" borderId="10" xfId="0" applyFont="1" applyBorder="1" applyAlignment="1">
      <alignment horizontal="center" wrapText="1"/>
    </xf>
    <xf numFmtId="0" fontId="39" fillId="25" borderId="10" xfId="73" applyFont="1" applyFill="1" applyBorder="1" applyAlignment="1">
      <alignment horizontal="center" wrapText="1"/>
    </xf>
    <xf numFmtId="0" fontId="40" fillId="0" borderId="10" xfId="0" applyFont="1" applyBorder="1" applyAlignment="1">
      <alignment wrapText="1"/>
    </xf>
    <xf numFmtId="0" fontId="2" fillId="29" borderId="10" xfId="0" applyFont="1" applyFill="1" applyBorder="1" applyAlignment="1">
      <alignment horizontal="center" wrapText="1"/>
    </xf>
    <xf numFmtId="0" fontId="29" fillId="0" borderId="10" xfId="0" applyFont="1" applyBorder="1" applyAlignment="1">
      <alignment horizontal="center" wrapText="1"/>
    </xf>
    <xf numFmtId="0" fontId="2" fillId="29" borderId="15" xfId="73" applyFont="1" applyFill="1" applyBorder="1" applyAlignment="1">
      <alignment horizontal="center" wrapText="1"/>
    </xf>
    <xf numFmtId="0" fontId="0" fillId="0" borderId="18" xfId="0" applyBorder="1" applyAlignment="1">
      <alignment horizontal="center" wrapText="1"/>
    </xf>
    <xf numFmtId="0" fontId="0" fillId="0" borderId="10" xfId="0" applyBorder="1" applyAlignment="1">
      <alignment horizontal="center" wrapText="1"/>
    </xf>
    <xf numFmtId="0" fontId="31" fillId="29" borderId="10" xfId="0" applyFont="1" applyFill="1" applyBorder="1" applyAlignment="1">
      <alignment horizontal="center" vertical="center" wrapText="1"/>
    </xf>
    <xf numFmtId="0" fontId="0" fillId="0" borderId="10" xfId="0" applyBorder="1" applyAlignment="1">
      <alignment horizontal="center" vertical="center" wrapText="1"/>
    </xf>
    <xf numFmtId="0" fontId="2" fillId="34" borderId="14" xfId="0" applyFont="1" applyFill="1" applyBorder="1" applyAlignment="1">
      <alignment horizontal="center" wrapText="1"/>
    </xf>
    <xf numFmtId="0" fontId="2" fillId="34" borderId="17" xfId="0" applyFont="1" applyFill="1" applyBorder="1" applyAlignment="1">
      <alignment horizontal="center" wrapText="1"/>
    </xf>
    <xf numFmtId="0" fontId="2" fillId="34" borderId="16" xfId="0" applyFont="1" applyFill="1" applyBorder="1" applyAlignment="1">
      <alignment horizontal="center" wrapText="1"/>
    </xf>
    <xf numFmtId="0" fontId="1" fillId="0" borderId="17" xfId="0" applyFont="1" applyBorder="1" applyAlignment="1">
      <alignment wrapText="1"/>
    </xf>
    <xf numFmtId="0" fontId="1" fillId="0" borderId="16" xfId="0" applyFont="1" applyBorder="1" applyAlignment="1">
      <alignment wrapText="1"/>
    </xf>
    <xf numFmtId="0" fontId="0" fillId="0" borderId="14" xfId="0" applyFill="1" applyBorder="1" applyAlignment="1">
      <alignment wrapText="1"/>
    </xf>
    <xf numFmtId="0" fontId="0" fillId="0" borderId="14" xfId="0" applyFill="1" applyBorder="1" applyAlignment="1">
      <alignment horizontal="left" vertical="center" wrapText="1"/>
    </xf>
    <xf numFmtId="0" fontId="0" fillId="0" borderId="16" xfId="0" applyBorder="1" applyAlignment="1">
      <alignment horizontal="left" vertical="center" wrapText="1"/>
    </xf>
    <xf numFmtId="0" fontId="46" fillId="35" borderId="14" xfId="73" applyFont="1" applyFill="1" applyBorder="1" applyAlignment="1">
      <alignment horizontal="center" wrapText="1"/>
    </xf>
    <xf numFmtId="0" fontId="0" fillId="0" borderId="16" xfId="0" applyBorder="1" applyAlignment="1">
      <alignment horizontal="center" wrapText="1"/>
    </xf>
    <xf numFmtId="0" fontId="39" fillId="35" borderId="10" xfId="73" applyFont="1" applyFill="1" applyBorder="1" applyAlignment="1">
      <alignment horizontal="center" wrapText="1"/>
    </xf>
    <xf numFmtId="0" fontId="0" fillId="35" borderId="10" xfId="0" applyFill="1" applyBorder="1" applyAlignment="1">
      <alignment wrapText="1"/>
    </xf>
    <xf numFmtId="0" fontId="1" fillId="0" borderId="14" xfId="73" applyBorder="1" applyAlignment="1">
      <alignment wrapText="1"/>
    </xf>
    <xf numFmtId="0" fontId="2" fillId="36" borderId="14" xfId="73" applyFont="1" applyFill="1" applyBorder="1" applyAlignment="1">
      <alignment horizontal="center" vertical="center" wrapText="1"/>
    </xf>
    <xf numFmtId="0" fontId="2" fillId="36" borderId="17" xfId="0" applyFont="1" applyFill="1" applyBorder="1" applyAlignment="1">
      <alignment horizontal="center" vertical="center" wrapText="1"/>
    </xf>
    <xf numFmtId="0" fontId="2" fillId="36" borderId="16" xfId="0" applyFont="1" applyFill="1" applyBorder="1" applyAlignment="1">
      <alignment horizontal="center" vertical="center" wrapText="1"/>
    </xf>
    <xf numFmtId="0" fontId="0" fillId="0" borderId="14" xfId="0" applyBorder="1" applyAlignment="1">
      <alignment horizontal="center" wrapText="1"/>
    </xf>
    <xf numFmtId="0" fontId="39" fillId="37" borderId="14" xfId="73" applyFont="1" applyFill="1" applyBorder="1" applyAlignment="1">
      <alignment horizontal="center" wrapText="1"/>
    </xf>
    <xf numFmtId="0" fontId="0" fillId="37" borderId="17" xfId="0" applyFill="1" applyBorder="1" applyAlignment="1">
      <alignment horizontal="center" wrapText="1"/>
    </xf>
    <xf numFmtId="0" fontId="0" fillId="37" borderId="16" xfId="0" applyFill="1" applyBorder="1" applyAlignment="1">
      <alignment horizontal="center" wrapText="1"/>
    </xf>
    <xf numFmtId="0" fontId="39" fillId="39" borderId="10" xfId="0" applyFont="1" applyFill="1" applyBorder="1" applyAlignment="1">
      <alignment horizontal="center" wrapText="1"/>
    </xf>
    <xf numFmtId="0" fontId="2" fillId="39" borderId="10" xfId="0" applyFont="1" applyFill="1" applyBorder="1" applyAlignment="1">
      <alignment wrapText="1"/>
    </xf>
    <xf numFmtId="0" fontId="39" fillId="40" borderId="14" xfId="0" applyFont="1" applyFill="1" applyBorder="1" applyAlignment="1">
      <alignment horizontal="center" wrapText="1"/>
    </xf>
    <xf numFmtId="0" fontId="39" fillId="40" borderId="17" xfId="0" applyFont="1" applyFill="1" applyBorder="1" applyAlignment="1">
      <alignment horizontal="center" wrapText="1"/>
    </xf>
    <xf numFmtId="0" fontId="39" fillId="40" borderId="16" xfId="0" applyFont="1" applyFill="1" applyBorder="1" applyAlignment="1">
      <alignment horizontal="center" wrapText="1"/>
    </xf>
    <xf numFmtId="0" fontId="39" fillId="37" borderId="14" xfId="0" applyFont="1" applyFill="1" applyBorder="1" applyAlignment="1">
      <alignment horizontal="center" wrapText="1"/>
    </xf>
    <xf numFmtId="0" fontId="39" fillId="0" borderId="17" xfId="0" applyFont="1" applyBorder="1" applyAlignment="1">
      <alignment horizontal="center" wrapText="1"/>
    </xf>
    <xf numFmtId="0" fontId="39" fillId="0" borderId="16" xfId="0" applyFont="1" applyBorder="1" applyAlignment="1">
      <alignment horizontal="center" wrapText="1"/>
    </xf>
    <xf numFmtId="0" fontId="1" fillId="0" borderId="14" xfId="0" applyFont="1" applyFill="1" applyBorder="1" applyAlignment="1">
      <alignment horizontal="left" vertical="center" wrapText="1"/>
    </xf>
    <xf numFmtId="0" fontId="1" fillId="0" borderId="14" xfId="0" applyFont="1" applyFill="1" applyBorder="1" applyAlignment="1">
      <alignment wrapText="1"/>
    </xf>
    <xf numFmtId="0" fontId="2" fillId="34" borderId="10" xfId="73" applyFont="1" applyFill="1" applyBorder="1" applyAlignment="1">
      <alignment horizontal="center" wrapText="1"/>
    </xf>
    <xf numFmtId="0" fontId="29" fillId="0" borderId="10" xfId="0" applyFont="1" applyBorder="1" applyAlignment="1">
      <alignment wrapText="1"/>
    </xf>
    <xf numFmtId="0" fontId="46" fillId="35" borderId="17" xfId="73" applyFont="1" applyFill="1" applyBorder="1" applyAlignment="1">
      <alignment horizontal="center" wrapText="1"/>
    </xf>
    <xf numFmtId="0" fontId="46" fillId="35" borderId="16" xfId="73" applyFont="1" applyFill="1" applyBorder="1" applyAlignment="1">
      <alignment horizontal="center" wrapText="1"/>
    </xf>
    <xf numFmtId="0" fontId="1" fillId="0" borderId="10" xfId="0" applyFont="1" applyBorder="1" applyAlignment="1">
      <alignment horizontal="center" wrapText="1"/>
    </xf>
    <xf numFmtId="0" fontId="1" fillId="0" borderId="14" xfId="0" applyFont="1" applyBorder="1" applyAlignment="1">
      <alignment horizontal="center" wrapText="1"/>
    </xf>
    <xf numFmtId="0" fontId="1" fillId="0" borderId="17" xfId="73" applyBorder="1" applyAlignment="1">
      <alignment wrapText="1"/>
    </xf>
  </cellXfs>
  <cellStyles count="124">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cellStyle name="Hyperlink 2" xfId="34"/>
    <cellStyle name="Hyperlink 2 2" xfId="35"/>
    <cellStyle name="Hyperlink 2 3" xfId="36"/>
    <cellStyle name="Hyperlink 2 4" xfId="37"/>
    <cellStyle name="Hyperlink 2 5" xfId="38"/>
    <cellStyle name="Hyperlink 2 6" xfId="39"/>
    <cellStyle name="Hyperlink 2 7" xfId="40"/>
    <cellStyle name="Input" xfId="41" builtinId="20" customBuiltin="1"/>
    <cellStyle name="Linked Cell" xfId="42" builtinId="24" customBuiltin="1"/>
    <cellStyle name="Neutral" xfId="43" builtinId="28" customBuiltin="1"/>
    <cellStyle name="Normal" xfId="0" builtinId="0"/>
    <cellStyle name="Normal 10" xfId="44"/>
    <cellStyle name="Normal 11" xfId="45"/>
    <cellStyle name="Normal 12" xfId="46"/>
    <cellStyle name="Normal 13" xfId="47"/>
    <cellStyle name="Normal 14" xfId="48"/>
    <cellStyle name="Normal 15" xfId="49"/>
    <cellStyle name="Normal 2" xfId="50"/>
    <cellStyle name="Normal 2 10" xfId="51"/>
    <cellStyle name="Normal 2 11" xfId="52"/>
    <cellStyle name="Normal 2 12" xfId="53"/>
    <cellStyle name="Normal 2 13" xfId="54"/>
    <cellStyle name="Normal 2 14" xfId="55"/>
    <cellStyle name="Normal 2 15" xfId="56"/>
    <cellStyle name="Normal 2 2" xfId="57"/>
    <cellStyle name="Normal 2 3" xfId="58"/>
    <cellStyle name="Normal 2 4" xfId="59"/>
    <cellStyle name="Normal 2 5" xfId="60"/>
    <cellStyle name="Normal 2 6" xfId="61"/>
    <cellStyle name="Normal 2 7" xfId="62"/>
    <cellStyle name="Normal 2 8" xfId="63"/>
    <cellStyle name="Normal 2 9" xfId="64"/>
    <cellStyle name="Normal 2_Testers Contact Info" xfId="65"/>
    <cellStyle name="Normal 3" xfId="66"/>
    <cellStyle name="Normal 4" xfId="67"/>
    <cellStyle name="Normal 5" xfId="68"/>
    <cellStyle name="Normal 6" xfId="69"/>
    <cellStyle name="Normal 7" xfId="70"/>
    <cellStyle name="Normal 8" xfId="71"/>
    <cellStyle name="Normal 9" xfId="72"/>
    <cellStyle name="Normal_FWall-StdWintel_45061" xfId="73"/>
    <cellStyle name="Note" xfId="74" builtinId="10" customBuiltin="1"/>
    <cellStyle name="Output" xfId="75" builtinId="21" customBuiltin="1"/>
    <cellStyle name="Title" xfId="76" builtinId="15" customBuiltin="1"/>
    <cellStyle name="Total" xfId="77" builtinId="25" customBuiltin="1"/>
    <cellStyle name="Warning Text" xfId="78" builtinId="11"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7</xdr:col>
      <xdr:colOff>1460500</xdr:colOff>
      <xdr:row>49</xdr:row>
      <xdr:rowOff>130175</xdr:rowOff>
    </xdr:from>
    <xdr:to>
      <xdr:col>20</xdr:col>
      <xdr:colOff>89956</xdr:colOff>
      <xdr:row>56</xdr:row>
      <xdr:rowOff>146844</xdr:rowOff>
    </xdr:to>
    <xdr:grpSp>
      <xdr:nvGrpSpPr>
        <xdr:cNvPr id="4" name="Group 3">
          <a:extLst>
            <a:ext uri="{FF2B5EF4-FFF2-40B4-BE49-F238E27FC236}">
              <a16:creationId xmlns:a16="http://schemas.microsoft.com/office/drawing/2014/main" id="{00000000-0008-0000-0000-000004000000}"/>
            </a:ext>
          </a:extLst>
        </xdr:cNvPr>
        <xdr:cNvGrpSpPr/>
      </xdr:nvGrpSpPr>
      <xdr:grpSpPr>
        <a:xfrm>
          <a:off x="14995071" y="15751175"/>
          <a:ext cx="13270742" cy="1159669"/>
          <a:chOff x="11391895" y="7940677"/>
          <a:chExt cx="7646461" cy="1172367"/>
        </a:xfrm>
      </xdr:grpSpPr>
      <mc:AlternateContent xmlns:mc="http://schemas.openxmlformats.org/markup-compatibility/2006">
        <mc:Choice xmlns:a14="http://schemas.microsoft.com/office/drawing/2010/main" Requires="a14">
          <xdr:sp macro="" textlink="">
            <xdr:nvSpPr>
              <xdr:cNvPr id="7192" name="Label2" hidden="1">
                <a:extLst>
                  <a:ext uri="{63B3BB69-23CF-44E3-9099-C40C66FF867C}">
                    <a14:compatExt spid="_x0000_s7192"/>
                  </a:ext>
                  <a:ext uri="{FF2B5EF4-FFF2-40B4-BE49-F238E27FC236}">
                    <a16:creationId xmlns:a16="http://schemas.microsoft.com/office/drawing/2014/main" id="{00000000-0008-0000-0000-0000181C0000}"/>
                  </a:ext>
                </a:extLst>
              </xdr:cNvPr>
              <xdr:cNvSpPr/>
            </xdr:nvSpPr>
            <xdr:spPr bwMode="auto">
              <a:xfrm>
                <a:off x="11391895" y="7940677"/>
                <a:ext cx="2305050" cy="88265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7190" name="Label1" hidden="1">
                <a:extLst>
                  <a:ext uri="{63B3BB69-23CF-44E3-9099-C40C66FF867C}">
                    <a14:compatExt spid="_x0000_s7190"/>
                  </a:ext>
                  <a:ext uri="{FF2B5EF4-FFF2-40B4-BE49-F238E27FC236}">
                    <a16:creationId xmlns:a16="http://schemas.microsoft.com/office/drawing/2014/main" id="{00000000-0008-0000-0000-0000161C0000}"/>
                  </a:ext>
                </a:extLst>
              </xdr:cNvPr>
              <xdr:cNvSpPr/>
            </xdr:nvSpPr>
            <xdr:spPr bwMode="auto">
              <a:xfrm>
                <a:off x="11557000" y="8051800"/>
                <a:ext cx="1971675" cy="619125"/>
              </a:xfrm>
              <a:prstGeom prst="rect">
                <a:avLst/>
              </a:prstGeom>
              <a:noFill/>
              <a:ln>
                <a:noFill/>
              </a:ln>
              <a:extLst>
                <a:ext uri="{91240B29-F687-4F45-9708-019B960494DF}">
                  <a14:hiddenLine w="9525">
                    <a:noFill/>
                    <a:miter lim="800000"/>
                    <a:headEnd/>
                    <a:tailEnd/>
                  </a14:hiddenLine>
                </a:ext>
              </a:extLst>
            </xdr:spPr>
          </xdr:sp>
        </mc:Choice>
        <mc:Fallback/>
      </mc:AlternateContent>
      <xdr:sp macro="[0]!Data_Format" textlink="">
        <xdr:nvSpPr>
          <xdr:cNvPr id="2" name="Tufin">
            <a:extLst>
              <a:ext uri="{FF2B5EF4-FFF2-40B4-BE49-F238E27FC236}">
                <a16:creationId xmlns:a16="http://schemas.microsoft.com/office/drawing/2014/main" id="{00000000-0008-0000-0000-000002000000}"/>
              </a:ext>
            </a:extLst>
          </xdr:cNvPr>
          <xdr:cNvSpPr/>
        </xdr:nvSpPr>
        <xdr:spPr bwMode="auto">
          <a:xfrm>
            <a:off x="11849100" y="8216900"/>
            <a:ext cx="1313168" cy="26611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Run</a:t>
            </a:r>
            <a:r>
              <a:rPr lang="en-US" sz="1100" baseline="0"/>
              <a:t> Tufin Export</a:t>
            </a:r>
            <a:endParaRPr lang="en-US" sz="1100"/>
          </a:p>
        </xdr:txBody>
      </xdr:sp>
      <xdr:sp macro="" textlink="">
        <xdr:nvSpPr>
          <xdr:cNvPr id="3" name="Help1" hidden="1">
            <a:extLst>
              <a:ext uri="{FF2B5EF4-FFF2-40B4-BE49-F238E27FC236}">
                <a16:creationId xmlns:a16="http://schemas.microsoft.com/office/drawing/2014/main" id="{00000000-0008-0000-0000-000003000000}"/>
              </a:ext>
            </a:extLst>
          </xdr:cNvPr>
          <xdr:cNvSpPr/>
        </xdr:nvSpPr>
        <xdr:spPr bwMode="auto">
          <a:xfrm>
            <a:off x="13614400" y="8039100"/>
            <a:ext cx="5423956" cy="1073944"/>
          </a:xfrm>
          <a:prstGeom prst="wedgeRectCallout">
            <a:avLst>
              <a:gd name="adj1" fmla="val -58501"/>
              <a:gd name="adj2" fmla="val -10610"/>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chorCtr="0">
            <a:noAutofit/>
          </a:bodyPr>
          <a:lstStyle/>
          <a:p>
            <a:pPr algn="l"/>
            <a:r>
              <a:rPr lang="en-US" sz="1100">
                <a:solidFill>
                  <a:schemeClr val="tx1"/>
                </a:solidFill>
              </a:rPr>
              <a:t>The macro runs on each row of the Connection Details tab starting on row 5.</a:t>
            </a:r>
          </a:p>
          <a:p>
            <a:pPr algn="l"/>
            <a:r>
              <a:rPr lang="en-US" sz="1100">
                <a:solidFill>
                  <a:schemeClr val="tx1"/>
                </a:solidFill>
              </a:rPr>
              <a:t>Please do not add any comment lines and  do not merge any critical rows.</a:t>
            </a:r>
          </a:p>
          <a:p>
            <a:pPr algn="l"/>
            <a:r>
              <a:rPr lang="en-US" sz="1100">
                <a:solidFill>
                  <a:schemeClr val="tx1"/>
                </a:solidFill>
              </a:rPr>
              <a:t>It will stop processing at the first blank row.</a:t>
            </a:r>
          </a:p>
          <a:p>
            <a:pPr algn="l"/>
            <a:r>
              <a:rPr lang="en-US" sz="1100">
                <a:solidFill>
                  <a:schemeClr val="tx1"/>
                </a:solidFill>
              </a:rPr>
              <a:t>If there is an invalid IP/Subnet it will show on the export tab as 999.999.999.999</a:t>
            </a:r>
          </a:p>
          <a:p>
            <a:pPr algn="l"/>
            <a:r>
              <a:rPr lang="en-US" sz="1100">
                <a:solidFill>
                  <a:schemeClr val="tx1"/>
                </a:solidFill>
              </a:rPr>
              <a:t>Correct and rerun.	</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1193800</xdr:colOff>
      <xdr:row>51</xdr:row>
      <xdr:rowOff>130175</xdr:rowOff>
    </xdr:from>
    <xdr:to>
      <xdr:col>18</xdr:col>
      <xdr:colOff>89956</xdr:colOff>
      <xdr:row>59</xdr:row>
      <xdr:rowOff>146844</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15987486" y="13051516"/>
          <a:ext cx="9749215" cy="1322956"/>
          <a:chOff x="11391894" y="7940678"/>
          <a:chExt cx="7646462" cy="1172366"/>
        </a:xfrm>
      </xdr:grpSpPr>
      <mc:AlternateContent xmlns:mc="http://schemas.openxmlformats.org/markup-compatibility/2006">
        <mc:Choice xmlns:a14="http://schemas.microsoft.com/office/drawing/2010/main" Requires="a14">
          <xdr:sp macro="" textlink="">
            <xdr:nvSpPr>
              <xdr:cNvPr id="16406" name="Label1" hidden="1">
                <a:extLst>
                  <a:ext uri="{63B3BB69-23CF-44E3-9099-C40C66FF867C}">
                    <a14:compatExt spid="_x0000_s16406"/>
                  </a:ext>
                  <a:ext uri="{FF2B5EF4-FFF2-40B4-BE49-F238E27FC236}">
                    <a16:creationId xmlns:a16="http://schemas.microsoft.com/office/drawing/2014/main" id="{00000000-0008-0000-0100-000016400000}"/>
                  </a:ext>
                </a:extLst>
              </xdr:cNvPr>
              <xdr:cNvSpPr/>
            </xdr:nvSpPr>
            <xdr:spPr bwMode="auto">
              <a:xfrm>
                <a:off x="11391894" y="7940678"/>
                <a:ext cx="2305050" cy="88265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407" name="Label2" hidden="1">
                <a:extLst>
                  <a:ext uri="{63B3BB69-23CF-44E3-9099-C40C66FF867C}">
                    <a14:compatExt spid="_x0000_s16407"/>
                  </a:ext>
                  <a:ext uri="{FF2B5EF4-FFF2-40B4-BE49-F238E27FC236}">
                    <a16:creationId xmlns:a16="http://schemas.microsoft.com/office/drawing/2014/main" id="{00000000-0008-0000-0100-000017400000}"/>
                  </a:ext>
                </a:extLst>
              </xdr:cNvPr>
              <xdr:cNvSpPr/>
            </xdr:nvSpPr>
            <xdr:spPr bwMode="auto">
              <a:xfrm>
                <a:off x="11557000" y="8051800"/>
                <a:ext cx="1971675" cy="619125"/>
              </a:xfrm>
              <a:prstGeom prst="rect">
                <a:avLst/>
              </a:prstGeom>
              <a:noFill/>
              <a:ln>
                <a:noFill/>
              </a:ln>
              <a:extLst>
                <a:ext uri="{91240B29-F687-4F45-9708-019B960494DF}">
                  <a14:hiddenLine w="9525">
                    <a:noFill/>
                    <a:miter lim="800000"/>
                    <a:headEnd/>
                    <a:tailEnd/>
                  </a14:hiddenLine>
                </a:ext>
              </a:extLst>
            </xdr:spPr>
          </xdr:sp>
        </mc:Choice>
        <mc:Fallback/>
      </mc:AlternateContent>
      <xdr:sp macro="[0]!Data_Format" textlink="">
        <xdr:nvSpPr>
          <xdr:cNvPr id="5" name="Tufin">
            <a:extLst>
              <a:ext uri="{FF2B5EF4-FFF2-40B4-BE49-F238E27FC236}">
                <a16:creationId xmlns:a16="http://schemas.microsoft.com/office/drawing/2014/main" id="{00000000-0008-0000-0100-000005000000}"/>
              </a:ext>
            </a:extLst>
          </xdr:cNvPr>
          <xdr:cNvSpPr/>
        </xdr:nvSpPr>
        <xdr:spPr bwMode="auto">
          <a:xfrm>
            <a:off x="11849100" y="8216900"/>
            <a:ext cx="1313168" cy="26611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Run</a:t>
            </a:r>
            <a:r>
              <a:rPr lang="en-US" sz="1100" baseline="0"/>
              <a:t> Tufin Export</a:t>
            </a:r>
            <a:endParaRPr lang="en-US" sz="1100"/>
          </a:p>
        </xdr:txBody>
      </xdr:sp>
      <xdr:sp macro="" textlink="">
        <xdr:nvSpPr>
          <xdr:cNvPr id="6" name="Help1" hidden="1">
            <a:extLst>
              <a:ext uri="{FF2B5EF4-FFF2-40B4-BE49-F238E27FC236}">
                <a16:creationId xmlns:a16="http://schemas.microsoft.com/office/drawing/2014/main" id="{00000000-0008-0000-0100-000006000000}"/>
              </a:ext>
            </a:extLst>
          </xdr:cNvPr>
          <xdr:cNvSpPr/>
        </xdr:nvSpPr>
        <xdr:spPr bwMode="auto">
          <a:xfrm>
            <a:off x="13614400" y="8039100"/>
            <a:ext cx="5423956" cy="1073944"/>
          </a:xfrm>
          <a:prstGeom prst="wedgeRectCallout">
            <a:avLst>
              <a:gd name="adj1" fmla="val -58501"/>
              <a:gd name="adj2" fmla="val -10610"/>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chorCtr="0">
            <a:noAutofit/>
          </a:bodyPr>
          <a:lstStyle/>
          <a:p>
            <a:pPr algn="l"/>
            <a:r>
              <a:rPr lang="en-US" sz="1100">
                <a:solidFill>
                  <a:schemeClr val="tx1"/>
                </a:solidFill>
              </a:rPr>
              <a:t>The macro runs on each row of the Connection Details tab starting on row 5.</a:t>
            </a:r>
          </a:p>
          <a:p>
            <a:pPr algn="l"/>
            <a:r>
              <a:rPr lang="en-US" sz="1100">
                <a:solidFill>
                  <a:schemeClr val="tx1"/>
                </a:solidFill>
              </a:rPr>
              <a:t>Please do not add any comment lines and  do not merge any critical rows.</a:t>
            </a:r>
          </a:p>
          <a:p>
            <a:pPr algn="l"/>
            <a:r>
              <a:rPr lang="en-US" sz="1100">
                <a:solidFill>
                  <a:schemeClr val="tx1"/>
                </a:solidFill>
              </a:rPr>
              <a:t>It will stop processing at the first blank row.</a:t>
            </a:r>
          </a:p>
          <a:p>
            <a:pPr algn="l"/>
            <a:r>
              <a:rPr lang="en-US" sz="1100">
                <a:solidFill>
                  <a:schemeClr val="tx1"/>
                </a:solidFill>
              </a:rPr>
              <a:t>If there is an invalid IP/Subnet it will show on the export tab as 999.999.999.999</a:t>
            </a:r>
          </a:p>
          <a:p>
            <a:pPr algn="l"/>
            <a:r>
              <a:rPr lang="en-US" sz="1100">
                <a:solidFill>
                  <a:schemeClr val="tx1"/>
                </a:solidFill>
              </a:rPr>
              <a:t>Correct and rerun.	</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86</xdr:row>
      <xdr:rowOff>0</xdr:rowOff>
    </xdr:from>
    <xdr:to>
      <xdr:col>0</xdr:col>
      <xdr:colOff>2686050</xdr:colOff>
      <xdr:row>119</xdr:row>
      <xdr:rowOff>152400</xdr:rowOff>
    </xdr:to>
    <xdr:pic>
      <xdr:nvPicPr>
        <xdr:cNvPr id="4118" name="Picture 1" descr="clip_image002">
          <a:extLst>
            <a:ext uri="{FF2B5EF4-FFF2-40B4-BE49-F238E27FC236}">
              <a16:creationId xmlns:a16="http://schemas.microsoft.com/office/drawing/2014/main" id="{00000000-0008-0000-0200-00001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754725"/>
          <a:ext cx="2686050" cy="557212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knowledgelink.kdc.capitalone.com/kl/livelink.exe?func=ll&amp;objId=1033566654&amp;objAction=browse"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A73"/>
  <sheetViews>
    <sheetView tabSelected="1" topLeftCell="D1" zoomScale="70" zoomScaleNormal="70" zoomScalePageLayoutView="75" workbookViewId="0">
      <pane ySplit="9" topLeftCell="A10" activePane="bottomLeft" state="frozen"/>
      <selection pane="bottomLeft" activeCell="L12" sqref="L12"/>
    </sheetView>
  </sheetViews>
  <sheetFormatPr defaultColWidth="8.7265625" defaultRowHeight="12.5" x14ac:dyDescent="0.25"/>
  <cols>
    <col min="1" max="1" width="37.26953125" style="4" customWidth="1"/>
    <col min="2" max="3" width="29.26953125" style="4" customWidth="1"/>
    <col min="4" max="4" width="15.26953125" style="4" customWidth="1"/>
    <col min="5" max="5" width="19.7265625" style="19" customWidth="1"/>
    <col min="6" max="6" width="23.1796875" style="4" customWidth="1"/>
    <col min="7" max="7" width="39.7265625" style="4" customWidth="1"/>
    <col min="8" max="8" width="35.7265625" style="4" customWidth="1"/>
    <col min="9" max="9" width="19.1796875" style="4" customWidth="1"/>
    <col min="10" max="11" width="17.453125" style="19" customWidth="1"/>
    <col min="12" max="12" width="15.1796875" style="4" customWidth="1"/>
    <col min="13" max="13" width="16.1796875" style="4" customWidth="1"/>
    <col min="14" max="14" width="9.7265625" style="4" customWidth="1"/>
    <col min="15" max="15" width="6.26953125" style="3" bestFit="1" customWidth="1"/>
    <col min="16" max="16" width="13.7265625" style="3" customWidth="1"/>
    <col min="17" max="17" width="16" style="3" customWidth="1"/>
    <col min="18" max="18" width="14.7265625" style="3" customWidth="1"/>
    <col min="19" max="19" width="12.26953125" style="3" bestFit="1" customWidth="1"/>
    <col min="20" max="22" width="15.7265625" style="3" customWidth="1"/>
    <col min="23" max="23" width="13.7265625" style="3" customWidth="1"/>
    <col min="24" max="24" width="10.7265625" style="3" bestFit="1" customWidth="1"/>
    <col min="25" max="25" width="21.453125" style="3" customWidth="1"/>
    <col min="26" max="262" width="11.453125" style="4" customWidth="1"/>
    <col min="263" max="16384" width="8.7265625" style="4"/>
  </cols>
  <sheetData>
    <row r="1" spans="1:27" ht="13" x14ac:dyDescent="0.25">
      <c r="A1" s="13" t="s">
        <v>40</v>
      </c>
      <c r="B1" s="74"/>
      <c r="E1" s="70" t="s">
        <v>139</v>
      </c>
      <c r="F1" s="53"/>
    </row>
    <row r="2" spans="1:27" ht="13" x14ac:dyDescent="0.25">
      <c r="A2" s="70" t="s">
        <v>272</v>
      </c>
      <c r="B2" s="72"/>
      <c r="E2" s="71" t="s">
        <v>140</v>
      </c>
      <c r="F2" s="53"/>
      <c r="J2" s="4"/>
      <c r="K2" s="4"/>
      <c r="M2" s="15"/>
      <c r="N2" s="16"/>
      <c r="O2" s="17"/>
      <c r="P2" s="17"/>
      <c r="Q2" s="17"/>
      <c r="R2" s="17"/>
      <c r="S2" s="17"/>
      <c r="T2" s="17"/>
      <c r="U2" s="17"/>
      <c r="V2" s="17"/>
      <c r="W2" s="17"/>
      <c r="X2" s="17"/>
      <c r="Y2" s="4"/>
    </row>
    <row r="3" spans="1:27" ht="18" customHeight="1" x14ac:dyDescent="0.4">
      <c r="A3" s="125" t="s">
        <v>213</v>
      </c>
      <c r="B3" s="103"/>
      <c r="C3" s="103"/>
      <c r="D3" s="103"/>
      <c r="E3" s="103"/>
      <c r="F3" s="103"/>
      <c r="G3" s="103"/>
      <c r="H3" s="103"/>
      <c r="I3" s="103"/>
      <c r="J3" s="103"/>
      <c r="K3" s="103"/>
      <c r="L3" s="103"/>
      <c r="M3" s="103"/>
      <c r="N3" s="103"/>
      <c r="O3" s="103"/>
      <c r="P3" s="103"/>
      <c r="Q3" s="103"/>
      <c r="R3" s="103"/>
      <c r="S3" s="103"/>
      <c r="T3" s="103"/>
      <c r="U3" s="103"/>
      <c r="V3" s="103"/>
      <c r="W3" s="103"/>
      <c r="X3" s="103"/>
      <c r="Y3" s="126"/>
    </row>
    <row r="4" spans="1:27" ht="18" customHeight="1" x14ac:dyDescent="0.4">
      <c r="A4" s="125" t="s">
        <v>386</v>
      </c>
      <c r="B4" s="103"/>
      <c r="C4" s="103"/>
      <c r="D4" s="103"/>
      <c r="E4" s="103"/>
      <c r="F4" s="103"/>
      <c r="G4" s="103"/>
      <c r="H4" s="103"/>
      <c r="I4" s="103"/>
      <c r="J4" s="103"/>
      <c r="K4" s="103"/>
      <c r="L4" s="103"/>
      <c r="M4" s="103"/>
      <c r="N4" s="103"/>
      <c r="O4" s="103"/>
      <c r="P4" s="103"/>
      <c r="Q4" s="103"/>
      <c r="R4" s="103"/>
      <c r="S4" s="103"/>
      <c r="T4" s="103"/>
      <c r="U4" s="103"/>
      <c r="V4" s="103"/>
      <c r="W4" s="103"/>
      <c r="X4" s="103"/>
      <c r="Y4" s="126"/>
    </row>
    <row r="5" spans="1:27" ht="18" x14ac:dyDescent="0.4">
      <c r="A5" s="106" t="s">
        <v>0</v>
      </c>
      <c r="B5" s="107"/>
      <c r="C5" s="107"/>
      <c r="D5" s="107"/>
      <c r="E5" s="107"/>
      <c r="F5" s="108" t="s">
        <v>2</v>
      </c>
      <c r="G5" s="109"/>
      <c r="H5" s="109"/>
      <c r="I5" s="109"/>
      <c r="J5" s="109"/>
      <c r="K5" s="109"/>
      <c r="L5" s="109"/>
      <c r="M5" s="109"/>
      <c r="N5" s="109"/>
      <c r="O5" s="110" t="s">
        <v>136</v>
      </c>
      <c r="P5" s="110"/>
      <c r="Q5" s="111"/>
      <c r="R5" s="111"/>
      <c r="S5" s="111"/>
      <c r="T5" s="111"/>
      <c r="U5" s="111"/>
      <c r="V5" s="111"/>
      <c r="W5" s="111"/>
      <c r="X5" s="111"/>
      <c r="Y5" s="111"/>
    </row>
    <row r="6" spans="1:27" ht="6" customHeight="1" x14ac:dyDescent="0.4">
      <c r="A6" s="127"/>
      <c r="B6" s="128"/>
      <c r="C6" s="128"/>
      <c r="D6" s="128"/>
      <c r="E6" s="128"/>
      <c r="F6" s="128"/>
      <c r="G6" s="128"/>
      <c r="H6" s="128"/>
      <c r="I6" s="128"/>
      <c r="J6" s="128"/>
      <c r="K6" s="128"/>
      <c r="L6" s="128"/>
      <c r="M6" s="128"/>
      <c r="N6" s="128"/>
      <c r="O6" s="128"/>
      <c r="P6" s="128"/>
      <c r="Q6" s="128"/>
      <c r="R6" s="128"/>
      <c r="S6" s="128"/>
      <c r="T6" s="128"/>
      <c r="U6" s="128"/>
      <c r="V6" s="128"/>
      <c r="W6" s="128"/>
      <c r="X6" s="128"/>
      <c r="Y6" s="128"/>
    </row>
    <row r="7" spans="1:27" ht="34.9" customHeight="1" x14ac:dyDescent="0.4">
      <c r="A7" s="134" t="s">
        <v>378</v>
      </c>
      <c r="B7" s="135"/>
      <c r="C7" s="136"/>
      <c r="D7" s="92" t="s">
        <v>379</v>
      </c>
      <c r="E7" s="137" t="s">
        <v>378</v>
      </c>
      <c r="F7" s="138"/>
      <c r="G7" s="138"/>
      <c r="H7" s="138"/>
      <c r="I7" s="92" t="s">
        <v>379</v>
      </c>
      <c r="J7" s="94" t="s">
        <v>378</v>
      </c>
      <c r="K7" s="92" t="s">
        <v>379</v>
      </c>
      <c r="L7" s="139" t="s">
        <v>382</v>
      </c>
      <c r="M7" s="140"/>
      <c r="N7" s="141"/>
      <c r="O7" s="94" t="s">
        <v>383</v>
      </c>
      <c r="P7" s="92" t="s">
        <v>379</v>
      </c>
      <c r="Q7" s="93" t="s">
        <v>378</v>
      </c>
      <c r="R7" s="92" t="s">
        <v>379</v>
      </c>
      <c r="S7" s="142" t="s">
        <v>378</v>
      </c>
      <c r="T7" s="103"/>
      <c r="U7" s="126"/>
      <c r="V7" s="92" t="s">
        <v>379</v>
      </c>
      <c r="W7" s="142" t="s">
        <v>378</v>
      </c>
      <c r="X7" s="143"/>
      <c r="Y7" s="144"/>
    </row>
    <row r="8" spans="1:27" ht="6" customHeight="1" x14ac:dyDescent="0.4">
      <c r="A8" s="127"/>
      <c r="B8" s="128"/>
      <c r="C8" s="128"/>
      <c r="D8" s="128"/>
      <c r="E8" s="128"/>
      <c r="F8" s="128"/>
      <c r="G8" s="128"/>
      <c r="H8" s="128"/>
      <c r="I8" s="128"/>
      <c r="J8" s="128"/>
      <c r="K8" s="128"/>
      <c r="L8" s="128"/>
      <c r="M8" s="128"/>
      <c r="N8" s="128"/>
      <c r="O8" s="128"/>
      <c r="P8" s="128"/>
      <c r="Q8" s="128"/>
      <c r="R8" s="128"/>
      <c r="S8" s="128"/>
      <c r="T8" s="128"/>
      <c r="U8" s="128"/>
      <c r="V8" s="128"/>
      <c r="W8" s="128"/>
      <c r="X8" s="128"/>
      <c r="Y8" s="128"/>
    </row>
    <row r="9" spans="1:27" ht="39" x14ac:dyDescent="0.3">
      <c r="A9" s="7" t="s">
        <v>1</v>
      </c>
      <c r="B9" s="7" t="s">
        <v>115</v>
      </c>
      <c r="C9" s="84" t="s">
        <v>134</v>
      </c>
      <c r="D9" s="84" t="s">
        <v>342</v>
      </c>
      <c r="E9" s="50" t="s">
        <v>135</v>
      </c>
      <c r="F9" s="8" t="s">
        <v>1</v>
      </c>
      <c r="G9" s="8" t="s">
        <v>115</v>
      </c>
      <c r="H9" s="84" t="s">
        <v>134</v>
      </c>
      <c r="I9" s="84" t="s">
        <v>343</v>
      </c>
      <c r="J9" s="50" t="s">
        <v>135</v>
      </c>
      <c r="K9" s="9" t="s">
        <v>384</v>
      </c>
      <c r="L9" s="9" t="s">
        <v>3</v>
      </c>
      <c r="M9" s="10" t="s">
        <v>4</v>
      </c>
      <c r="N9" s="11" t="s">
        <v>22</v>
      </c>
      <c r="O9" s="18" t="s">
        <v>23</v>
      </c>
      <c r="P9" s="12" t="s">
        <v>380</v>
      </c>
      <c r="Q9" s="12" t="s">
        <v>24</v>
      </c>
      <c r="R9" s="12" t="s">
        <v>381</v>
      </c>
      <c r="S9" s="12" t="s">
        <v>35</v>
      </c>
      <c r="T9" s="12" t="s">
        <v>25</v>
      </c>
      <c r="U9" s="12" t="s">
        <v>33</v>
      </c>
      <c r="V9" s="12" t="s">
        <v>344</v>
      </c>
      <c r="W9" s="110" t="s">
        <v>34</v>
      </c>
      <c r="X9" s="114"/>
      <c r="Y9" s="12" t="s">
        <v>32</v>
      </c>
    </row>
    <row r="10" spans="1:27" ht="187.5" customHeight="1" x14ac:dyDescent="0.25">
      <c r="A10" s="22" t="s">
        <v>387</v>
      </c>
      <c r="B10" s="22" t="s">
        <v>387</v>
      </c>
      <c r="C10" s="51" t="s">
        <v>387</v>
      </c>
      <c r="D10" s="51"/>
      <c r="E10" s="52" t="s">
        <v>122</v>
      </c>
      <c r="F10" s="23" t="s">
        <v>388</v>
      </c>
      <c r="G10" s="23" t="s">
        <v>388</v>
      </c>
      <c r="H10" s="51" t="s">
        <v>388</v>
      </c>
      <c r="I10" s="51"/>
      <c r="J10" s="52" t="s">
        <v>117</v>
      </c>
      <c r="K10" s="24"/>
      <c r="L10" s="24" t="s">
        <v>393</v>
      </c>
      <c r="M10" s="25" t="s">
        <v>390</v>
      </c>
      <c r="N10" s="26" t="s">
        <v>389</v>
      </c>
      <c r="O10" s="28"/>
      <c r="P10" s="28"/>
      <c r="Q10" s="27"/>
      <c r="R10" s="27"/>
      <c r="S10" s="27"/>
      <c r="T10" s="27"/>
      <c r="U10" s="27"/>
      <c r="V10" s="27"/>
      <c r="W10" s="115"/>
      <c r="X10" s="116"/>
      <c r="Y10" s="21" t="str">
        <f t="shared" ref="Y10:Y27" si="0">IF(A10="","",CONCATENATE(X10,(IF(O10="","",CONCATENATE(" ",U10)))," ",$B$1))</f>
        <v xml:space="preserve"> </v>
      </c>
      <c r="Z10" s="3"/>
      <c r="AA10" s="3"/>
    </row>
    <row r="11" spans="1:27" ht="187.5" customHeight="1" x14ac:dyDescent="0.25">
      <c r="A11" s="22" t="s">
        <v>391</v>
      </c>
      <c r="B11" s="22" t="s">
        <v>391</v>
      </c>
      <c r="C11" s="51" t="s">
        <v>391</v>
      </c>
      <c r="D11" s="51"/>
      <c r="E11" s="52" t="s">
        <v>122</v>
      </c>
      <c r="F11" s="23" t="s">
        <v>388</v>
      </c>
      <c r="G11" s="23" t="s">
        <v>388</v>
      </c>
      <c r="H11" s="51" t="s">
        <v>388</v>
      </c>
      <c r="I11" s="51"/>
      <c r="J11" s="52" t="s">
        <v>117</v>
      </c>
      <c r="K11" s="24"/>
      <c r="L11" s="24" t="s">
        <v>393</v>
      </c>
      <c r="M11" s="25" t="s">
        <v>390</v>
      </c>
      <c r="N11" s="26" t="s">
        <v>389</v>
      </c>
      <c r="O11" s="28"/>
      <c r="P11" s="28"/>
      <c r="Q11" s="95"/>
      <c r="R11" s="95"/>
      <c r="S11" s="95"/>
      <c r="T11" s="95"/>
      <c r="U11" s="95"/>
      <c r="V11" s="95"/>
      <c r="W11" s="115"/>
      <c r="X11" s="116"/>
      <c r="Y11" s="21" t="str">
        <f t="shared" ref="Y11" si="1">IF(A11="","",CONCATENATE(X11,(IF(O11="","",CONCATENATE(" ",U11)))," ",$B$1))</f>
        <v xml:space="preserve"> </v>
      </c>
      <c r="Z11" s="3"/>
      <c r="AA11" s="3"/>
    </row>
    <row r="12" spans="1:27" ht="187.5" customHeight="1" x14ac:dyDescent="0.25">
      <c r="A12" s="22" t="s">
        <v>392</v>
      </c>
      <c r="B12" s="22" t="s">
        <v>392</v>
      </c>
      <c r="C12" s="51" t="s">
        <v>392</v>
      </c>
      <c r="D12" s="51"/>
      <c r="E12" s="52" t="s">
        <v>122</v>
      </c>
      <c r="F12" s="23" t="s">
        <v>388</v>
      </c>
      <c r="G12" s="23" t="s">
        <v>388</v>
      </c>
      <c r="H12" s="51" t="s">
        <v>388</v>
      </c>
      <c r="I12" s="51"/>
      <c r="J12" s="52" t="s">
        <v>117</v>
      </c>
      <c r="K12" s="24"/>
      <c r="L12" s="24" t="s">
        <v>393</v>
      </c>
      <c r="M12" s="25" t="s">
        <v>390</v>
      </c>
      <c r="N12" s="26" t="s">
        <v>389</v>
      </c>
      <c r="O12" s="28"/>
      <c r="P12" s="28"/>
      <c r="Q12" s="95"/>
      <c r="R12" s="95"/>
      <c r="S12" s="95"/>
      <c r="T12" s="95"/>
      <c r="U12" s="95"/>
      <c r="V12" s="95"/>
      <c r="W12" s="115"/>
      <c r="X12" s="116"/>
      <c r="Y12" s="21" t="str">
        <f t="shared" ref="Y12" si="2">IF(A12="","",CONCATENATE(X12,(IF(O12="","",CONCATENATE(" ",U12)))," ",$B$1))</f>
        <v xml:space="preserve"> </v>
      </c>
      <c r="Z12" s="3"/>
      <c r="AA12" s="3"/>
    </row>
    <row r="13" spans="1:27" x14ac:dyDescent="0.25">
      <c r="A13" s="22"/>
      <c r="B13" s="22"/>
      <c r="C13" s="51"/>
      <c r="D13" s="51"/>
      <c r="E13" s="52"/>
      <c r="F13" s="23"/>
      <c r="G13" s="23"/>
      <c r="H13" s="51"/>
      <c r="I13" s="51"/>
      <c r="J13" s="52"/>
      <c r="K13" s="24"/>
      <c r="L13" s="24"/>
      <c r="M13" s="25"/>
      <c r="N13" s="26"/>
      <c r="O13" s="28"/>
      <c r="P13" s="28"/>
      <c r="Q13" s="27"/>
      <c r="R13" s="27"/>
      <c r="S13" s="27"/>
      <c r="T13" s="27"/>
      <c r="U13" s="27"/>
      <c r="V13" s="27"/>
      <c r="W13" s="115"/>
      <c r="X13" s="116"/>
      <c r="Y13" s="21" t="str">
        <f t="shared" si="0"/>
        <v/>
      </c>
      <c r="Z13" s="3"/>
      <c r="AA13" s="3"/>
    </row>
    <row r="14" spans="1:27" x14ac:dyDescent="0.25">
      <c r="A14" s="22"/>
      <c r="B14" s="22"/>
      <c r="C14" s="51"/>
      <c r="D14" s="51"/>
      <c r="E14" s="52"/>
      <c r="F14" s="23"/>
      <c r="G14" s="23"/>
      <c r="H14" s="51"/>
      <c r="I14" s="51"/>
      <c r="J14" s="52"/>
      <c r="K14" s="24"/>
      <c r="L14" s="24"/>
      <c r="M14" s="25"/>
      <c r="N14" s="26"/>
      <c r="O14" s="28"/>
      <c r="P14" s="28"/>
      <c r="Q14" s="27"/>
      <c r="R14" s="27"/>
      <c r="S14" s="27"/>
      <c r="T14" s="27"/>
      <c r="U14" s="27"/>
      <c r="V14" s="27"/>
      <c r="W14" s="115"/>
      <c r="X14" s="116"/>
      <c r="Y14" s="21" t="str">
        <f t="shared" si="0"/>
        <v/>
      </c>
      <c r="Z14" s="3"/>
      <c r="AA14" s="3"/>
    </row>
    <row r="15" spans="1:27" x14ac:dyDescent="0.25">
      <c r="A15" s="22"/>
      <c r="B15" s="22"/>
      <c r="C15" s="51"/>
      <c r="D15" s="51"/>
      <c r="E15" s="52"/>
      <c r="F15" s="23"/>
      <c r="G15" s="23"/>
      <c r="H15" s="51"/>
      <c r="I15" s="51"/>
      <c r="J15" s="52"/>
      <c r="K15" s="24"/>
      <c r="L15" s="24"/>
      <c r="M15" s="25"/>
      <c r="N15" s="26"/>
      <c r="O15" s="28"/>
      <c r="P15" s="28"/>
      <c r="Q15" s="27"/>
      <c r="R15" s="27"/>
      <c r="S15" s="27"/>
      <c r="T15" s="27"/>
      <c r="U15" s="27"/>
      <c r="V15" s="27"/>
      <c r="W15" s="115"/>
      <c r="X15" s="116"/>
      <c r="Y15" s="21" t="str">
        <f t="shared" si="0"/>
        <v/>
      </c>
      <c r="Z15" s="3"/>
      <c r="AA15" s="3"/>
    </row>
    <row r="16" spans="1:27" x14ac:dyDescent="0.25">
      <c r="A16" s="22"/>
      <c r="B16" s="22"/>
      <c r="C16" s="51"/>
      <c r="D16" s="51"/>
      <c r="E16" s="52"/>
      <c r="F16" s="23"/>
      <c r="G16" s="23"/>
      <c r="H16" s="51"/>
      <c r="I16" s="51"/>
      <c r="J16" s="52"/>
      <c r="K16" s="24"/>
      <c r="L16" s="24"/>
      <c r="M16" s="25"/>
      <c r="N16" s="26"/>
      <c r="O16" s="28"/>
      <c r="P16" s="28"/>
      <c r="Q16" s="27"/>
      <c r="R16" s="27"/>
      <c r="S16" s="27"/>
      <c r="T16" s="27"/>
      <c r="U16" s="27"/>
      <c r="V16" s="27"/>
      <c r="W16" s="115"/>
      <c r="X16" s="116"/>
      <c r="Y16" s="21" t="str">
        <f t="shared" si="0"/>
        <v/>
      </c>
      <c r="Z16" s="3"/>
      <c r="AA16" s="3"/>
    </row>
    <row r="17" spans="1:27" x14ac:dyDescent="0.25">
      <c r="A17" s="22"/>
      <c r="B17" s="22"/>
      <c r="C17" s="51"/>
      <c r="D17" s="51"/>
      <c r="E17" s="52"/>
      <c r="F17" s="23"/>
      <c r="G17" s="23"/>
      <c r="H17" s="51"/>
      <c r="I17" s="51"/>
      <c r="J17" s="52"/>
      <c r="K17" s="24"/>
      <c r="L17" s="24"/>
      <c r="M17" s="25"/>
      <c r="N17" s="26"/>
      <c r="O17" s="28"/>
      <c r="P17" s="28"/>
      <c r="Q17" s="27"/>
      <c r="R17" s="27"/>
      <c r="S17" s="27"/>
      <c r="T17" s="27"/>
      <c r="U17" s="27"/>
      <c r="V17" s="27"/>
      <c r="W17" s="115"/>
      <c r="X17" s="116"/>
      <c r="Y17" s="21" t="str">
        <f t="shared" si="0"/>
        <v/>
      </c>
      <c r="Z17" s="3"/>
      <c r="AA17" s="3"/>
    </row>
    <row r="18" spans="1:27" x14ac:dyDescent="0.25">
      <c r="A18" s="22"/>
      <c r="B18" s="22"/>
      <c r="C18" s="51"/>
      <c r="D18" s="51"/>
      <c r="E18" s="52"/>
      <c r="F18" s="23"/>
      <c r="G18" s="23"/>
      <c r="H18" s="51"/>
      <c r="I18" s="51"/>
      <c r="J18" s="52"/>
      <c r="K18" s="24"/>
      <c r="L18" s="24"/>
      <c r="M18" s="25"/>
      <c r="N18" s="26"/>
      <c r="O18" s="28"/>
      <c r="P18" s="28"/>
      <c r="Q18" s="27"/>
      <c r="R18" s="27"/>
      <c r="S18" s="27"/>
      <c r="T18" s="27"/>
      <c r="U18" s="27"/>
      <c r="V18" s="27"/>
      <c r="W18" s="115"/>
      <c r="X18" s="116"/>
      <c r="Y18" s="21" t="str">
        <f t="shared" si="0"/>
        <v/>
      </c>
      <c r="Z18" s="3"/>
      <c r="AA18" s="3"/>
    </row>
    <row r="19" spans="1:27" x14ac:dyDescent="0.25">
      <c r="A19" s="22"/>
      <c r="B19" s="22"/>
      <c r="C19" s="51"/>
      <c r="D19" s="51"/>
      <c r="E19" s="52"/>
      <c r="F19" s="23"/>
      <c r="G19" s="23"/>
      <c r="H19" s="51"/>
      <c r="I19" s="51"/>
      <c r="J19" s="52"/>
      <c r="K19" s="24"/>
      <c r="L19" s="24"/>
      <c r="M19" s="25"/>
      <c r="N19" s="26"/>
      <c r="O19" s="28"/>
      <c r="P19" s="28"/>
      <c r="Q19" s="27"/>
      <c r="R19" s="27"/>
      <c r="S19" s="27"/>
      <c r="T19" s="27"/>
      <c r="U19" s="27"/>
      <c r="V19" s="27"/>
      <c r="W19" s="115"/>
      <c r="X19" s="116"/>
      <c r="Y19" s="21" t="str">
        <f t="shared" si="0"/>
        <v/>
      </c>
      <c r="Z19" s="3"/>
      <c r="AA19" s="3"/>
    </row>
    <row r="20" spans="1:27" x14ac:dyDescent="0.25">
      <c r="A20" s="22"/>
      <c r="B20" s="22"/>
      <c r="C20" s="51"/>
      <c r="D20" s="51"/>
      <c r="E20" s="52"/>
      <c r="F20" s="23"/>
      <c r="G20" s="23"/>
      <c r="H20" s="51"/>
      <c r="I20" s="51"/>
      <c r="J20" s="52"/>
      <c r="K20" s="24"/>
      <c r="L20" s="24"/>
      <c r="M20" s="25"/>
      <c r="N20" s="26"/>
      <c r="O20" s="28"/>
      <c r="P20" s="28"/>
      <c r="Q20" s="27"/>
      <c r="R20" s="27"/>
      <c r="S20" s="27"/>
      <c r="T20" s="27"/>
      <c r="U20" s="27"/>
      <c r="V20" s="27"/>
      <c r="W20" s="115"/>
      <c r="X20" s="116"/>
      <c r="Y20" s="21" t="str">
        <f t="shared" si="0"/>
        <v/>
      </c>
      <c r="Z20" s="3"/>
      <c r="AA20" s="3"/>
    </row>
    <row r="21" spans="1:27" x14ac:dyDescent="0.25">
      <c r="A21" s="22"/>
      <c r="B21" s="22"/>
      <c r="C21" s="51"/>
      <c r="D21" s="51"/>
      <c r="E21" s="52"/>
      <c r="F21" s="23"/>
      <c r="G21" s="23"/>
      <c r="H21" s="51"/>
      <c r="I21" s="51"/>
      <c r="J21" s="52"/>
      <c r="K21" s="24"/>
      <c r="L21" s="24"/>
      <c r="M21" s="25"/>
      <c r="N21" s="26"/>
      <c r="O21" s="28"/>
      <c r="P21" s="28"/>
      <c r="Q21" s="27"/>
      <c r="R21" s="27"/>
      <c r="S21" s="27"/>
      <c r="T21" s="27"/>
      <c r="U21" s="27"/>
      <c r="V21" s="27"/>
      <c r="W21" s="115"/>
      <c r="X21" s="116"/>
      <c r="Y21" s="21" t="str">
        <f t="shared" si="0"/>
        <v/>
      </c>
      <c r="Z21" s="3"/>
      <c r="AA21" s="3"/>
    </row>
    <row r="22" spans="1:27" x14ac:dyDescent="0.25">
      <c r="A22" s="22"/>
      <c r="B22" s="22"/>
      <c r="C22" s="51"/>
      <c r="D22" s="51"/>
      <c r="E22" s="52"/>
      <c r="F22" s="23"/>
      <c r="G22" s="23"/>
      <c r="H22" s="51"/>
      <c r="I22" s="51"/>
      <c r="J22" s="52"/>
      <c r="K22" s="24"/>
      <c r="L22" s="24"/>
      <c r="M22" s="25"/>
      <c r="N22" s="26"/>
      <c r="O22" s="28"/>
      <c r="P22" s="28"/>
      <c r="Q22" s="27"/>
      <c r="R22" s="27"/>
      <c r="S22" s="27"/>
      <c r="T22" s="27"/>
      <c r="U22" s="27"/>
      <c r="V22" s="27"/>
      <c r="W22" s="115"/>
      <c r="X22" s="116"/>
      <c r="Y22" s="21" t="str">
        <f t="shared" si="0"/>
        <v/>
      </c>
      <c r="Z22" s="3"/>
      <c r="AA22" s="3"/>
    </row>
    <row r="23" spans="1:27" x14ac:dyDescent="0.25">
      <c r="A23" s="22"/>
      <c r="B23" s="22"/>
      <c r="C23" s="51"/>
      <c r="D23" s="51"/>
      <c r="E23" s="52"/>
      <c r="F23" s="23"/>
      <c r="G23" s="23"/>
      <c r="H23" s="51"/>
      <c r="I23" s="51"/>
      <c r="J23" s="52"/>
      <c r="K23" s="24"/>
      <c r="L23" s="24"/>
      <c r="M23" s="25"/>
      <c r="N23" s="26"/>
      <c r="O23" s="28"/>
      <c r="P23" s="28"/>
      <c r="Q23" s="27"/>
      <c r="R23" s="27"/>
      <c r="S23" s="27"/>
      <c r="T23" s="27"/>
      <c r="U23" s="27"/>
      <c r="V23" s="27"/>
      <c r="W23" s="115"/>
      <c r="X23" s="116"/>
      <c r="Y23" s="21" t="str">
        <f t="shared" si="0"/>
        <v/>
      </c>
      <c r="Z23" s="3"/>
      <c r="AA23" s="3"/>
    </row>
    <row r="24" spans="1:27" x14ac:dyDescent="0.25">
      <c r="A24" s="22"/>
      <c r="B24" s="22"/>
      <c r="C24" s="51"/>
      <c r="D24" s="51"/>
      <c r="E24" s="52"/>
      <c r="F24" s="23"/>
      <c r="G24" s="23"/>
      <c r="H24" s="51"/>
      <c r="I24" s="51"/>
      <c r="J24" s="52"/>
      <c r="K24" s="24"/>
      <c r="L24" s="24"/>
      <c r="M24" s="25"/>
      <c r="N24" s="26"/>
      <c r="O24" s="28"/>
      <c r="P24" s="28"/>
      <c r="Q24" s="27"/>
      <c r="R24" s="27"/>
      <c r="S24" s="27"/>
      <c r="T24" s="27"/>
      <c r="U24" s="27"/>
      <c r="V24" s="27"/>
      <c r="W24" s="115"/>
      <c r="X24" s="116"/>
      <c r="Y24" s="21" t="str">
        <f t="shared" si="0"/>
        <v/>
      </c>
      <c r="Z24" s="3"/>
      <c r="AA24" s="3"/>
    </row>
    <row r="25" spans="1:27" x14ac:dyDescent="0.25">
      <c r="A25" s="22"/>
      <c r="B25" s="22"/>
      <c r="C25" s="51"/>
      <c r="D25" s="51"/>
      <c r="E25" s="52"/>
      <c r="F25" s="23"/>
      <c r="G25" s="23"/>
      <c r="H25" s="51"/>
      <c r="I25" s="51"/>
      <c r="J25" s="52"/>
      <c r="K25" s="24"/>
      <c r="L25" s="24"/>
      <c r="M25" s="25"/>
      <c r="N25" s="26"/>
      <c r="O25" s="28"/>
      <c r="P25" s="28"/>
      <c r="Q25" s="27"/>
      <c r="R25" s="27"/>
      <c r="S25" s="27"/>
      <c r="T25" s="27"/>
      <c r="U25" s="27"/>
      <c r="V25" s="27"/>
      <c r="W25" s="115"/>
      <c r="X25" s="116"/>
      <c r="Y25" s="21" t="str">
        <f t="shared" si="0"/>
        <v/>
      </c>
      <c r="Z25" s="3"/>
      <c r="AA25" s="3"/>
    </row>
    <row r="26" spans="1:27" x14ac:dyDescent="0.25">
      <c r="A26" s="22"/>
      <c r="B26" s="22"/>
      <c r="C26" s="51"/>
      <c r="D26" s="51"/>
      <c r="E26" s="52"/>
      <c r="F26" s="23"/>
      <c r="G26" s="23"/>
      <c r="H26" s="51"/>
      <c r="I26" s="51"/>
      <c r="J26" s="52"/>
      <c r="K26" s="24"/>
      <c r="L26" s="24"/>
      <c r="M26" s="25"/>
      <c r="N26" s="26"/>
      <c r="O26" s="28"/>
      <c r="P26" s="28"/>
      <c r="Q26" s="27"/>
      <c r="R26" s="27"/>
      <c r="S26" s="27"/>
      <c r="T26" s="27"/>
      <c r="U26" s="27"/>
      <c r="V26" s="27"/>
      <c r="W26" s="115"/>
      <c r="X26" s="116"/>
      <c r="Y26" s="21" t="str">
        <f t="shared" si="0"/>
        <v/>
      </c>
      <c r="Z26" s="3"/>
      <c r="AA26" s="3"/>
    </row>
    <row r="27" spans="1:27" x14ac:dyDescent="0.25">
      <c r="A27" s="22"/>
      <c r="B27" s="22"/>
      <c r="C27" s="51"/>
      <c r="D27" s="51"/>
      <c r="E27" s="52"/>
      <c r="F27" s="23"/>
      <c r="G27" s="23"/>
      <c r="H27" s="51"/>
      <c r="I27" s="51"/>
      <c r="J27" s="52"/>
      <c r="K27" s="24"/>
      <c r="L27" s="24"/>
      <c r="M27" s="25"/>
      <c r="N27" s="26"/>
      <c r="O27" s="28"/>
      <c r="P27" s="28"/>
      <c r="Q27" s="27"/>
      <c r="R27" s="27"/>
      <c r="S27" s="27"/>
      <c r="T27" s="27"/>
      <c r="U27" s="27"/>
      <c r="V27" s="27"/>
      <c r="W27" s="115"/>
      <c r="X27" s="116"/>
      <c r="Y27" s="21" t="str">
        <f t="shared" si="0"/>
        <v/>
      </c>
      <c r="Z27" s="3"/>
      <c r="AA27" s="3"/>
    </row>
    <row r="28" spans="1:27" x14ac:dyDescent="0.25">
      <c r="A28" s="5"/>
      <c r="B28" s="5"/>
      <c r="C28" s="5"/>
      <c r="D28" s="5"/>
      <c r="G28" s="5"/>
      <c r="H28" s="5"/>
      <c r="I28" s="5"/>
    </row>
    <row r="29" spans="1:27" x14ac:dyDescent="0.25">
      <c r="J29" s="4"/>
      <c r="K29" s="4"/>
      <c r="L29" s="3"/>
      <c r="M29" s="3"/>
      <c r="N29" s="3"/>
      <c r="V29" s="4"/>
      <c r="W29" s="4"/>
      <c r="X29" s="4"/>
      <c r="Y29" s="4"/>
    </row>
    <row r="30" spans="1:27" ht="13" x14ac:dyDescent="0.3">
      <c r="A30" s="102" t="s">
        <v>30</v>
      </c>
      <c r="B30" s="120"/>
      <c r="C30" s="120"/>
      <c r="D30" s="120"/>
      <c r="E30" s="120"/>
      <c r="F30" s="120"/>
      <c r="G30" s="120"/>
      <c r="H30" s="120"/>
      <c r="I30" s="120"/>
      <c r="J30" s="120"/>
      <c r="K30" s="120"/>
      <c r="L30" s="120"/>
      <c r="M30" s="120"/>
      <c r="N30" s="120"/>
      <c r="O30" s="120"/>
      <c r="P30" s="120"/>
      <c r="Q30" s="120"/>
      <c r="R30" s="120"/>
      <c r="S30" s="120"/>
      <c r="T30" s="120"/>
      <c r="U30" s="121"/>
      <c r="X30" s="4"/>
      <c r="Y30" s="4"/>
    </row>
    <row r="31" spans="1:27" ht="39" x14ac:dyDescent="0.3">
      <c r="A31" s="33" t="s">
        <v>26</v>
      </c>
      <c r="B31" s="33" t="s">
        <v>27</v>
      </c>
      <c r="C31" s="34" t="s">
        <v>138</v>
      </c>
      <c r="D31" s="85" t="s">
        <v>345</v>
      </c>
      <c r="E31" s="112" t="s">
        <v>28</v>
      </c>
      <c r="F31" s="113"/>
      <c r="G31" s="33" t="s">
        <v>29</v>
      </c>
      <c r="H31" s="55" t="s">
        <v>137</v>
      </c>
      <c r="I31" s="81" t="s">
        <v>346</v>
      </c>
      <c r="J31" s="33" t="s">
        <v>347</v>
      </c>
      <c r="K31" s="33"/>
      <c r="L31" s="49" t="s">
        <v>116</v>
      </c>
      <c r="M31" s="117" t="s">
        <v>146</v>
      </c>
      <c r="N31" s="118"/>
      <c r="O31" s="118"/>
      <c r="P31" s="118"/>
      <c r="Q31" s="118"/>
      <c r="R31" s="118"/>
      <c r="S31" s="118"/>
      <c r="T31" s="118"/>
      <c r="U31" s="119"/>
      <c r="V31" s="4"/>
      <c r="W31" s="4"/>
      <c r="X31" s="4"/>
      <c r="Y31" s="4"/>
    </row>
    <row r="32" spans="1:27" x14ac:dyDescent="0.25">
      <c r="A32" s="6"/>
      <c r="B32" s="6"/>
      <c r="C32" s="6"/>
      <c r="D32" s="82"/>
      <c r="E32" s="123"/>
      <c r="F32" s="124"/>
      <c r="G32" s="56"/>
      <c r="H32" s="35"/>
      <c r="I32" s="35"/>
      <c r="J32" s="20"/>
      <c r="K32" s="20"/>
      <c r="L32" s="20"/>
      <c r="M32" s="122"/>
      <c r="N32" s="100"/>
      <c r="O32" s="100"/>
      <c r="P32" s="100"/>
      <c r="Q32" s="100"/>
      <c r="R32" s="100"/>
      <c r="S32" s="100"/>
      <c r="T32" s="100"/>
      <c r="U32" s="101"/>
      <c r="V32" s="4"/>
      <c r="W32" s="4"/>
      <c r="X32" s="4"/>
      <c r="Y32" s="4"/>
    </row>
    <row r="33" spans="1:25" x14ac:dyDescent="0.25">
      <c r="A33" s="6"/>
      <c r="B33" s="6"/>
      <c r="C33" s="6"/>
      <c r="D33" s="82"/>
      <c r="E33" s="123"/>
      <c r="F33" s="124"/>
      <c r="G33" s="56"/>
      <c r="H33" s="35"/>
      <c r="I33" s="35"/>
      <c r="J33" s="20"/>
      <c r="K33" s="20"/>
      <c r="L33" s="20"/>
      <c r="M33" s="122"/>
      <c r="N33" s="100"/>
      <c r="O33" s="100"/>
      <c r="P33" s="100"/>
      <c r="Q33" s="100"/>
      <c r="R33" s="100"/>
      <c r="S33" s="100"/>
      <c r="T33" s="100"/>
      <c r="U33" s="101"/>
      <c r="V33" s="4"/>
      <c r="W33" s="4"/>
      <c r="X33" s="4"/>
      <c r="Y33" s="4"/>
    </row>
    <row r="34" spans="1:25" x14ac:dyDescent="0.25">
      <c r="A34" s="6"/>
      <c r="B34" s="6"/>
      <c r="C34" s="6"/>
      <c r="D34" s="82"/>
      <c r="E34" s="123"/>
      <c r="F34" s="124"/>
      <c r="G34" s="56"/>
      <c r="H34" s="35"/>
      <c r="I34" s="35"/>
      <c r="J34" s="20"/>
      <c r="K34" s="20"/>
      <c r="L34" s="20"/>
      <c r="M34" s="122"/>
      <c r="N34" s="100"/>
      <c r="O34" s="100"/>
      <c r="P34" s="100"/>
      <c r="Q34" s="100"/>
      <c r="R34" s="100"/>
      <c r="S34" s="100"/>
      <c r="T34" s="100"/>
      <c r="U34" s="101"/>
      <c r="V34" s="67"/>
      <c r="W34" s="4"/>
      <c r="X34" s="4"/>
      <c r="Y34" s="4"/>
    </row>
    <row r="35" spans="1:25" x14ac:dyDescent="0.25">
      <c r="A35" s="6"/>
      <c r="B35" s="6"/>
      <c r="C35" s="6"/>
      <c r="D35" s="82"/>
      <c r="E35" s="123"/>
      <c r="F35" s="124"/>
      <c r="G35" s="56"/>
      <c r="H35" s="35"/>
      <c r="I35" s="35"/>
      <c r="J35" s="20"/>
      <c r="K35" s="20"/>
      <c r="L35" s="20"/>
      <c r="M35" s="122"/>
      <c r="N35" s="100"/>
      <c r="O35" s="100"/>
      <c r="P35" s="100"/>
      <c r="Q35" s="100"/>
      <c r="R35" s="100"/>
      <c r="S35" s="100"/>
      <c r="T35" s="100"/>
      <c r="U35" s="101"/>
      <c r="V35" s="67"/>
      <c r="W35" s="4"/>
      <c r="X35" s="4"/>
      <c r="Y35" s="4"/>
    </row>
    <row r="36" spans="1:25" x14ac:dyDescent="0.25">
      <c r="A36" s="6"/>
      <c r="B36" s="6"/>
      <c r="C36" s="6"/>
      <c r="D36" s="82"/>
      <c r="E36" s="123"/>
      <c r="F36" s="124"/>
      <c r="G36" s="56"/>
      <c r="H36" s="35"/>
      <c r="I36" s="35"/>
      <c r="J36" s="20"/>
      <c r="K36" s="20"/>
      <c r="L36" s="20"/>
      <c r="M36" s="122"/>
      <c r="N36" s="100"/>
      <c r="O36" s="100"/>
      <c r="P36" s="100"/>
      <c r="Q36" s="100"/>
      <c r="R36" s="100"/>
      <c r="S36" s="100"/>
      <c r="T36" s="100"/>
      <c r="U36" s="101"/>
      <c r="V36" s="67"/>
      <c r="W36" s="4"/>
      <c r="X36" s="4"/>
      <c r="Y36" s="4"/>
    </row>
    <row r="37" spans="1:25" x14ac:dyDescent="0.25">
      <c r="A37" s="6"/>
      <c r="B37" s="6"/>
      <c r="C37" s="6"/>
      <c r="D37" s="82"/>
      <c r="E37" s="123"/>
      <c r="F37" s="124"/>
      <c r="G37" s="56"/>
      <c r="H37" s="35"/>
      <c r="I37" s="35"/>
      <c r="J37" s="20"/>
      <c r="K37" s="20"/>
      <c r="L37" s="20"/>
      <c r="M37" s="122"/>
      <c r="N37" s="100"/>
      <c r="O37" s="100"/>
      <c r="P37" s="100"/>
      <c r="Q37" s="100"/>
      <c r="R37" s="100"/>
      <c r="S37" s="100"/>
      <c r="T37" s="100"/>
      <c r="U37" s="101"/>
      <c r="V37" s="67"/>
      <c r="W37" s="4"/>
      <c r="X37" s="4"/>
      <c r="Y37" s="4"/>
    </row>
    <row r="38" spans="1:25" x14ac:dyDescent="0.25">
      <c r="A38" s="6"/>
      <c r="B38" s="6"/>
      <c r="C38" s="6"/>
      <c r="D38" s="82"/>
      <c r="E38" s="123"/>
      <c r="F38" s="124"/>
      <c r="G38" s="56"/>
      <c r="H38" s="35"/>
      <c r="I38" s="35"/>
      <c r="J38" s="20"/>
      <c r="K38" s="20"/>
      <c r="L38" s="20"/>
      <c r="M38" s="122"/>
      <c r="N38" s="100"/>
      <c r="O38" s="100"/>
      <c r="P38" s="100"/>
      <c r="Q38" s="100"/>
      <c r="R38" s="100"/>
      <c r="S38" s="100"/>
      <c r="T38" s="100"/>
      <c r="U38" s="101"/>
      <c r="V38" s="67"/>
      <c r="W38" s="4"/>
      <c r="X38" s="4"/>
      <c r="Y38" s="4"/>
    </row>
    <row r="40" spans="1:25" x14ac:dyDescent="0.25">
      <c r="A40" s="5"/>
      <c r="B40" s="5"/>
      <c r="C40" s="5"/>
      <c r="D40" s="5"/>
      <c r="G40" s="5"/>
      <c r="H40" s="5"/>
      <c r="I40" s="5"/>
    </row>
    <row r="41" spans="1:25" ht="13" x14ac:dyDescent="0.3">
      <c r="A41" s="102" t="s">
        <v>37</v>
      </c>
      <c r="B41" s="103"/>
      <c r="C41" s="103"/>
      <c r="D41" s="103"/>
      <c r="E41" s="103"/>
      <c r="F41" s="103"/>
      <c r="G41" s="100"/>
      <c r="H41" s="100"/>
      <c r="I41" s="100"/>
      <c r="J41" s="100"/>
      <c r="K41" s="100"/>
      <c r="L41" s="100"/>
      <c r="M41" s="100"/>
      <c r="N41" s="100"/>
      <c r="O41" s="100"/>
      <c r="P41" s="100"/>
      <c r="Q41" s="100"/>
      <c r="R41" s="100"/>
      <c r="S41" s="100"/>
      <c r="T41" s="100"/>
      <c r="U41" s="101"/>
      <c r="V41" s="67"/>
    </row>
    <row r="42" spans="1:25" ht="13" x14ac:dyDescent="0.3">
      <c r="A42" s="33" t="s">
        <v>38</v>
      </c>
      <c r="B42" s="33" t="s">
        <v>271</v>
      </c>
      <c r="C42" s="63" t="s">
        <v>36</v>
      </c>
      <c r="D42" s="102" t="s">
        <v>214</v>
      </c>
      <c r="E42" s="104"/>
      <c r="F42" s="63" t="s">
        <v>178</v>
      </c>
      <c r="G42" s="117" t="s">
        <v>39</v>
      </c>
      <c r="H42" s="103"/>
      <c r="I42" s="103"/>
      <c r="J42" s="103"/>
      <c r="K42" s="103"/>
      <c r="L42" s="103"/>
      <c r="M42" s="103"/>
      <c r="N42" s="103"/>
      <c r="O42" s="126"/>
      <c r="P42" s="102" t="s">
        <v>34</v>
      </c>
      <c r="Q42" s="105"/>
      <c r="R42" s="105"/>
      <c r="S42" s="105"/>
      <c r="T42" s="105"/>
      <c r="U42" s="104"/>
      <c r="Y42" s="4"/>
    </row>
    <row r="43" spans="1:25" ht="13" customHeight="1" x14ac:dyDescent="0.25">
      <c r="A43" s="6"/>
      <c r="B43" s="6"/>
      <c r="C43" s="62"/>
      <c r="D43" s="96"/>
      <c r="E43" s="97"/>
      <c r="F43" s="65"/>
      <c r="G43" s="133"/>
      <c r="H43" s="103"/>
      <c r="I43" s="103"/>
      <c r="J43" s="103"/>
      <c r="K43" s="103"/>
      <c r="L43" s="103"/>
      <c r="M43" s="103"/>
      <c r="N43" s="103"/>
      <c r="O43" s="126"/>
      <c r="P43" s="100"/>
      <c r="Q43" s="100"/>
      <c r="R43" s="100"/>
      <c r="S43" s="100"/>
      <c r="T43" s="100"/>
      <c r="U43" s="101"/>
      <c r="Y43" s="4"/>
    </row>
    <row r="44" spans="1:25" ht="13" customHeight="1" x14ac:dyDescent="0.25">
      <c r="A44" s="57"/>
      <c r="B44" s="57"/>
      <c r="C44" s="64"/>
      <c r="D44" s="98"/>
      <c r="E44" s="99"/>
      <c r="F44" s="65"/>
      <c r="G44" s="133"/>
      <c r="H44" s="103"/>
      <c r="I44" s="103"/>
      <c r="J44" s="103"/>
      <c r="K44" s="103"/>
      <c r="L44" s="103"/>
      <c r="M44" s="103"/>
      <c r="N44" s="103"/>
      <c r="O44" s="126"/>
      <c r="P44" s="100"/>
      <c r="Q44" s="100"/>
      <c r="R44" s="100"/>
      <c r="S44" s="100"/>
      <c r="T44" s="100"/>
      <c r="U44" s="101"/>
      <c r="Y44" s="4"/>
    </row>
    <row r="45" spans="1:25" x14ac:dyDescent="0.25">
      <c r="A45" s="6"/>
      <c r="B45" s="6"/>
      <c r="C45" s="62"/>
      <c r="D45" s="96"/>
      <c r="E45" s="97"/>
      <c r="F45" s="65"/>
      <c r="G45" s="133"/>
      <c r="H45" s="103"/>
      <c r="I45" s="103"/>
      <c r="J45" s="103"/>
      <c r="K45" s="103"/>
      <c r="L45" s="103"/>
      <c r="M45" s="103"/>
      <c r="N45" s="103"/>
      <c r="O45" s="126"/>
      <c r="P45" s="100"/>
      <c r="Q45" s="100"/>
      <c r="R45" s="100"/>
      <c r="S45" s="100"/>
      <c r="T45" s="100"/>
      <c r="U45" s="101"/>
      <c r="Y45" s="4"/>
    </row>
    <row r="46" spans="1:25" x14ac:dyDescent="0.25">
      <c r="A46" s="6"/>
      <c r="B46" s="6"/>
      <c r="C46" s="62"/>
      <c r="D46" s="96"/>
      <c r="E46" s="97"/>
      <c r="F46" s="65"/>
      <c r="G46" s="133"/>
      <c r="H46" s="103"/>
      <c r="I46" s="103"/>
      <c r="J46" s="103"/>
      <c r="K46" s="103"/>
      <c r="L46" s="103"/>
      <c r="M46" s="103"/>
      <c r="N46" s="103"/>
      <c r="O46" s="126"/>
      <c r="P46" s="100"/>
      <c r="Q46" s="100"/>
      <c r="R46" s="100"/>
      <c r="S46" s="100"/>
      <c r="T46" s="100"/>
      <c r="U46" s="101"/>
      <c r="Y46" s="4"/>
    </row>
    <row r="47" spans="1:25" x14ac:dyDescent="0.25">
      <c r="A47" s="6"/>
      <c r="B47" s="6"/>
      <c r="C47" s="62"/>
      <c r="D47" s="96"/>
      <c r="E47" s="97"/>
      <c r="F47" s="65"/>
      <c r="G47" s="133"/>
      <c r="H47" s="103"/>
      <c r="I47" s="103"/>
      <c r="J47" s="103"/>
      <c r="K47" s="103"/>
      <c r="L47" s="103"/>
      <c r="M47" s="103"/>
      <c r="N47" s="103"/>
      <c r="O47" s="126"/>
      <c r="P47" s="100"/>
      <c r="Q47" s="100"/>
      <c r="R47" s="100"/>
      <c r="S47" s="100"/>
      <c r="T47" s="100"/>
      <c r="U47" s="101"/>
      <c r="Y47" s="4"/>
    </row>
    <row r="48" spans="1:25" x14ac:dyDescent="0.25">
      <c r="A48" s="6"/>
      <c r="B48" s="6"/>
      <c r="C48" s="62"/>
      <c r="D48" s="96"/>
      <c r="E48" s="97"/>
      <c r="F48" s="65"/>
      <c r="G48" s="133"/>
      <c r="H48" s="103"/>
      <c r="I48" s="103"/>
      <c r="J48" s="103"/>
      <c r="K48" s="103"/>
      <c r="L48" s="103"/>
      <c r="M48" s="103"/>
      <c r="N48" s="103"/>
      <c r="O48" s="126"/>
      <c r="P48" s="100"/>
      <c r="Q48" s="100"/>
      <c r="R48" s="100"/>
      <c r="S48" s="100"/>
      <c r="T48" s="100"/>
      <c r="U48" s="101"/>
      <c r="Y48" s="4"/>
    </row>
    <row r="49" spans="1:25" x14ac:dyDescent="0.25">
      <c r="A49" s="6"/>
      <c r="B49" s="6"/>
      <c r="C49" s="62"/>
      <c r="D49" s="96"/>
      <c r="E49" s="97"/>
      <c r="F49" s="65"/>
      <c r="G49" s="133"/>
      <c r="H49" s="103"/>
      <c r="I49" s="103"/>
      <c r="J49" s="103"/>
      <c r="K49" s="103"/>
      <c r="L49" s="103"/>
      <c r="M49" s="103"/>
      <c r="N49" s="103"/>
      <c r="O49" s="126"/>
      <c r="P49" s="100"/>
      <c r="Q49" s="100"/>
      <c r="R49" s="100"/>
      <c r="S49" s="100"/>
      <c r="T49" s="100"/>
      <c r="U49" s="101"/>
      <c r="Y49" s="4"/>
    </row>
    <row r="51" spans="1:25" x14ac:dyDescent="0.25">
      <c r="J51" s="4"/>
      <c r="K51" s="4"/>
      <c r="L51" s="3"/>
      <c r="M51" s="3"/>
      <c r="N51" s="3"/>
      <c r="W51" s="4"/>
      <c r="X51" s="4"/>
      <c r="Y51" s="4"/>
    </row>
    <row r="52" spans="1:25" ht="13" x14ac:dyDescent="0.25">
      <c r="A52" s="130" t="s">
        <v>340</v>
      </c>
      <c r="B52" s="131"/>
      <c r="C52" s="131"/>
      <c r="D52" s="131"/>
      <c r="E52" s="131"/>
      <c r="F52" s="132"/>
      <c r="J52" s="3"/>
      <c r="K52" s="3"/>
      <c r="L52" s="3"/>
      <c r="M52" s="3"/>
      <c r="N52" s="3"/>
      <c r="U52" s="4"/>
      <c r="V52" s="4"/>
      <c r="W52" s="4"/>
      <c r="X52" s="4"/>
      <c r="Y52" s="4"/>
    </row>
    <row r="53" spans="1:25" x14ac:dyDescent="0.25">
      <c r="A53" s="129"/>
      <c r="B53" s="100"/>
      <c r="C53" s="100"/>
      <c r="D53" s="100"/>
      <c r="E53" s="100"/>
      <c r="F53" s="101"/>
      <c r="J53" s="4"/>
      <c r="K53" s="4"/>
      <c r="L53" s="3"/>
      <c r="M53" s="3"/>
      <c r="N53" s="3"/>
      <c r="W53" s="4"/>
      <c r="X53" s="4"/>
      <c r="Y53" s="4"/>
    </row>
    <row r="54" spans="1:25" x14ac:dyDescent="0.25">
      <c r="A54" s="129"/>
      <c r="B54" s="100"/>
      <c r="C54" s="100"/>
      <c r="D54" s="100"/>
      <c r="E54" s="100"/>
      <c r="F54" s="101"/>
    </row>
    <row r="55" spans="1:25" x14ac:dyDescent="0.25">
      <c r="A55" s="129"/>
      <c r="B55" s="100"/>
      <c r="C55" s="100"/>
      <c r="D55" s="100"/>
      <c r="E55" s="100"/>
      <c r="F55" s="101"/>
    </row>
    <row r="56" spans="1:25" x14ac:dyDescent="0.25">
      <c r="A56" s="129"/>
      <c r="B56" s="100"/>
      <c r="C56" s="100"/>
      <c r="D56" s="100"/>
      <c r="E56" s="100"/>
      <c r="F56" s="101"/>
    </row>
    <row r="57" spans="1:25" x14ac:dyDescent="0.25">
      <c r="A57" s="129"/>
      <c r="B57" s="100"/>
      <c r="C57" s="100"/>
      <c r="D57" s="100"/>
      <c r="E57" s="100"/>
      <c r="F57" s="101"/>
    </row>
    <row r="58" spans="1:25" x14ac:dyDescent="0.25">
      <c r="A58" s="129"/>
      <c r="B58" s="100"/>
      <c r="C58" s="100"/>
      <c r="D58" s="100"/>
      <c r="E58" s="100"/>
      <c r="F58" s="101"/>
    </row>
    <row r="59" spans="1:25" x14ac:dyDescent="0.25">
      <c r="A59" s="129"/>
      <c r="B59" s="100"/>
      <c r="C59" s="100"/>
      <c r="D59" s="100"/>
      <c r="E59" s="100"/>
      <c r="F59" s="101"/>
    </row>
    <row r="60" spans="1:25" x14ac:dyDescent="0.25">
      <c r="A60" s="129"/>
      <c r="B60" s="100"/>
      <c r="C60" s="100"/>
      <c r="D60" s="100"/>
      <c r="E60" s="100"/>
      <c r="F60" s="101"/>
    </row>
    <row r="61" spans="1:25" x14ac:dyDescent="0.25">
      <c r="A61" s="129"/>
      <c r="B61" s="100"/>
      <c r="C61" s="100"/>
      <c r="D61" s="100"/>
      <c r="E61" s="100"/>
      <c r="F61" s="101"/>
    </row>
    <row r="64" spans="1:25" ht="13" x14ac:dyDescent="0.25">
      <c r="A64" s="130" t="s">
        <v>339</v>
      </c>
      <c r="B64" s="131"/>
      <c r="C64" s="131"/>
      <c r="D64" s="131"/>
      <c r="E64" s="131"/>
      <c r="F64" s="132"/>
    </row>
    <row r="65" spans="1:6" x14ac:dyDescent="0.25">
      <c r="A65" s="129"/>
      <c r="B65" s="100"/>
      <c r="C65" s="100"/>
      <c r="D65" s="100"/>
      <c r="E65" s="100"/>
      <c r="F65" s="101"/>
    </row>
    <row r="66" spans="1:6" x14ac:dyDescent="0.25">
      <c r="A66" s="129"/>
      <c r="B66" s="100"/>
      <c r="C66" s="100"/>
      <c r="D66" s="100"/>
      <c r="E66" s="100"/>
      <c r="F66" s="101"/>
    </row>
    <row r="67" spans="1:6" x14ac:dyDescent="0.25">
      <c r="A67" s="129"/>
      <c r="B67" s="100"/>
      <c r="C67" s="100"/>
      <c r="D67" s="100"/>
      <c r="E67" s="100"/>
      <c r="F67" s="101"/>
    </row>
    <row r="68" spans="1:6" x14ac:dyDescent="0.25">
      <c r="A68" s="129"/>
      <c r="B68" s="100"/>
      <c r="C68" s="100"/>
      <c r="D68" s="100"/>
      <c r="E68" s="100"/>
      <c r="F68" s="101"/>
    </row>
    <row r="69" spans="1:6" x14ac:dyDescent="0.25">
      <c r="A69" s="129"/>
      <c r="B69" s="100"/>
      <c r="C69" s="100"/>
      <c r="D69" s="100"/>
      <c r="E69" s="100"/>
      <c r="F69" s="101"/>
    </row>
    <row r="70" spans="1:6" x14ac:dyDescent="0.25">
      <c r="A70" s="129"/>
      <c r="B70" s="100"/>
      <c r="C70" s="100"/>
      <c r="D70" s="100"/>
      <c r="E70" s="100"/>
      <c r="F70" s="101"/>
    </row>
    <row r="71" spans="1:6" x14ac:dyDescent="0.25">
      <c r="A71" s="129"/>
      <c r="B71" s="100"/>
      <c r="C71" s="100"/>
      <c r="D71" s="100"/>
      <c r="E71" s="100"/>
      <c r="F71" s="101"/>
    </row>
    <row r="72" spans="1:6" x14ac:dyDescent="0.25">
      <c r="A72" s="129"/>
      <c r="B72" s="100"/>
      <c r="C72" s="100"/>
      <c r="D72" s="100"/>
      <c r="E72" s="100"/>
      <c r="F72" s="101"/>
    </row>
    <row r="73" spans="1:6" x14ac:dyDescent="0.25">
      <c r="A73" s="129"/>
      <c r="B73" s="100"/>
      <c r="C73" s="100"/>
      <c r="D73" s="100"/>
      <c r="E73" s="100"/>
      <c r="F73" s="101"/>
    </row>
  </sheetData>
  <mergeCells count="93">
    <mergeCell ref="A4:Y4"/>
    <mergeCell ref="A8:Y8"/>
    <mergeCell ref="A7:C7"/>
    <mergeCell ref="E7:H7"/>
    <mergeCell ref="L7:N7"/>
    <mergeCell ref="S7:U7"/>
    <mergeCell ref="W7:Y7"/>
    <mergeCell ref="A73:F73"/>
    <mergeCell ref="G42:O42"/>
    <mergeCell ref="G43:O43"/>
    <mergeCell ref="G44:O44"/>
    <mergeCell ref="G45:O45"/>
    <mergeCell ref="G46:O46"/>
    <mergeCell ref="G47:O47"/>
    <mergeCell ref="G48:O48"/>
    <mergeCell ref="G49:O49"/>
    <mergeCell ref="A68:F68"/>
    <mergeCell ref="A69:F69"/>
    <mergeCell ref="A70:F70"/>
    <mergeCell ref="A71:F71"/>
    <mergeCell ref="A72:F72"/>
    <mergeCell ref="A61:F61"/>
    <mergeCell ref="A64:F64"/>
    <mergeCell ref="A65:F65"/>
    <mergeCell ref="A66:F66"/>
    <mergeCell ref="A67:F67"/>
    <mergeCell ref="A52:F52"/>
    <mergeCell ref="A53:F53"/>
    <mergeCell ref="A54:F54"/>
    <mergeCell ref="A55:F55"/>
    <mergeCell ref="A56:F56"/>
    <mergeCell ref="A57:F57"/>
    <mergeCell ref="A58:F58"/>
    <mergeCell ref="A59:F59"/>
    <mergeCell ref="A60:F60"/>
    <mergeCell ref="M32:U32"/>
    <mergeCell ref="A3:Y3"/>
    <mergeCell ref="W27:X27"/>
    <mergeCell ref="W19:X19"/>
    <mergeCell ref="W20:X20"/>
    <mergeCell ref="W21:X21"/>
    <mergeCell ref="W22:X22"/>
    <mergeCell ref="W15:X15"/>
    <mergeCell ref="W16:X16"/>
    <mergeCell ref="W17:X17"/>
    <mergeCell ref="W25:X25"/>
    <mergeCell ref="W26:X26"/>
    <mergeCell ref="W23:X23"/>
    <mergeCell ref="W13:X13"/>
    <mergeCell ref="W14:X14"/>
    <mergeCell ref="A6:Y6"/>
    <mergeCell ref="M33:U33"/>
    <mergeCell ref="M34:U34"/>
    <mergeCell ref="M35:U35"/>
    <mergeCell ref="M36:U36"/>
    <mergeCell ref="M37:U37"/>
    <mergeCell ref="E38:F38"/>
    <mergeCell ref="E32:F32"/>
    <mergeCell ref="E33:F33"/>
    <mergeCell ref="E34:F34"/>
    <mergeCell ref="E35:F35"/>
    <mergeCell ref="E36:F36"/>
    <mergeCell ref="E37:F37"/>
    <mergeCell ref="A41:U41"/>
    <mergeCell ref="D42:E42"/>
    <mergeCell ref="P42:U42"/>
    <mergeCell ref="A5:E5"/>
    <mergeCell ref="F5:N5"/>
    <mergeCell ref="O5:Y5"/>
    <mergeCell ref="E31:F31"/>
    <mergeCell ref="W9:X9"/>
    <mergeCell ref="W10:X10"/>
    <mergeCell ref="W11:X11"/>
    <mergeCell ref="W12:X12"/>
    <mergeCell ref="W18:X18"/>
    <mergeCell ref="W24:X24"/>
    <mergeCell ref="M31:U31"/>
    <mergeCell ref="A30:U30"/>
    <mergeCell ref="M38:U38"/>
    <mergeCell ref="D43:E43"/>
    <mergeCell ref="D44:E44"/>
    <mergeCell ref="P48:U48"/>
    <mergeCell ref="P49:U49"/>
    <mergeCell ref="P43:U43"/>
    <mergeCell ref="P44:U44"/>
    <mergeCell ref="P45:U45"/>
    <mergeCell ref="P46:U46"/>
    <mergeCell ref="P47:U47"/>
    <mergeCell ref="D49:E49"/>
    <mergeCell ref="D47:E47"/>
    <mergeCell ref="D48:E48"/>
    <mergeCell ref="D45:E45"/>
    <mergeCell ref="D46:E46"/>
  </mergeCells>
  <dataValidations count="4">
    <dataValidation type="whole" allowBlank="1" showInputMessage="1" showErrorMessage="1" errorTitle="Error" error="That is not a valid port number!" sqref="N9">
      <formula1>1</formula1>
      <formula2>65535</formula2>
    </dataValidation>
    <dataValidation type="list" allowBlank="1" showInputMessage="1" showErrorMessage="1" sqref="M9">
      <formula1>#REF!</formula1>
    </dataValidation>
    <dataValidation type="list" allowBlank="1" showInputMessage="1" showErrorMessage="1" sqref="E10:E27 J10:J27">
      <formula1>Def</formula1>
    </dataValidation>
    <dataValidation type="list" allowBlank="1" showInputMessage="1" showErrorMessage="1" errorTitle="Use Pulldown" error="Use pulldown to insert checked box" sqref="O10:P27">
      <formula1>"þ"</formula1>
    </dataValidation>
  </dataValidations>
  <pageMargins left="0.75" right="0.75" top="1" bottom="1" header="0.5" footer="0.5"/>
  <pageSetup paperSize="5" scale="45" fitToHeight="37" orientation="landscape" r:id="rId1"/>
  <headerFooter alignWithMargins="0">
    <oddFooter>&amp;LCapital One Confidential</oddFooter>
  </headerFooter>
  <drawing r:id="rId2"/>
  <legacyDrawing r:id="rId3"/>
  <controls>
    <mc:AlternateContent xmlns:mc="http://schemas.openxmlformats.org/markup-compatibility/2006">
      <mc:Choice Requires="x14">
        <control shapeId="7190" r:id="rId4" name="Label1">
          <controlPr defaultSize="0" autoLine="0" autoPict="0" r:id="rId5">
            <anchor moveWithCells="1" sizeWithCells="1">
              <from>
                <xdr:col>7</xdr:col>
                <xdr:colOff>1746250</xdr:colOff>
                <xdr:row>50</xdr:row>
                <xdr:rowOff>76200</xdr:rowOff>
              </from>
              <to>
                <xdr:col>10</xdr:col>
                <xdr:colOff>114300</xdr:colOff>
                <xdr:row>54</xdr:row>
                <xdr:rowOff>38100</xdr:rowOff>
              </to>
            </anchor>
          </controlPr>
        </control>
      </mc:Choice>
      <mc:Fallback>
        <control shapeId="7190" r:id="rId4" name="Label1"/>
      </mc:Fallback>
    </mc:AlternateContent>
    <mc:AlternateContent xmlns:mc="http://schemas.openxmlformats.org/markup-compatibility/2006">
      <mc:Choice Requires="x14">
        <control shapeId="7192" r:id="rId6" name="Label2">
          <controlPr defaultSize="0" autoLine="0" autoPict="0" r:id="rId7">
            <anchor moveWithCells="1" sizeWithCells="1">
              <from>
                <xdr:col>7</xdr:col>
                <xdr:colOff>1460500</xdr:colOff>
                <xdr:row>49</xdr:row>
                <xdr:rowOff>133350</xdr:rowOff>
              </from>
              <to>
                <xdr:col>10</xdr:col>
                <xdr:colOff>406400</xdr:colOff>
                <xdr:row>55</xdr:row>
                <xdr:rowOff>25400</xdr:rowOff>
              </to>
            </anchor>
          </controlPr>
        </control>
      </mc:Choice>
      <mc:Fallback>
        <control shapeId="7192" r:id="rId6" name="Label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Y77"/>
  <sheetViews>
    <sheetView zoomScale="70" zoomScaleNormal="70" zoomScalePageLayoutView="75" workbookViewId="0">
      <pane ySplit="8" topLeftCell="A9" activePane="bottomLeft" state="frozen"/>
      <selection pane="bottomLeft"/>
    </sheetView>
  </sheetViews>
  <sheetFormatPr defaultColWidth="8.7265625" defaultRowHeight="12.5" x14ac:dyDescent="0.25"/>
  <cols>
    <col min="1" max="1" width="28.1796875" style="4" bestFit="1" customWidth="1"/>
    <col min="2" max="2" width="40" style="4" customWidth="1"/>
    <col min="3" max="3" width="29.26953125" style="4" customWidth="1"/>
    <col min="4" max="4" width="19.7265625" style="19" customWidth="1"/>
    <col min="5" max="5" width="23.1796875" style="4" customWidth="1"/>
    <col min="6" max="6" width="39.7265625" style="4" customWidth="1"/>
    <col min="7" max="7" width="35.7265625" style="4" customWidth="1"/>
    <col min="8" max="8" width="19.1796875" style="19" customWidth="1"/>
    <col min="9" max="9" width="18.26953125" style="4" customWidth="1"/>
    <col min="10" max="10" width="16.26953125" style="4" customWidth="1"/>
    <col min="11" max="11" width="16.81640625" style="4" bestFit="1" customWidth="1"/>
    <col min="12" max="12" width="13" style="3" customWidth="1"/>
    <col min="13" max="13" width="12.453125" style="3" customWidth="1"/>
    <col min="14" max="14" width="9.453125" style="3" customWidth="1"/>
    <col min="15" max="15" width="6.26953125" style="3" bestFit="1" customWidth="1"/>
    <col min="16" max="16" width="15.7265625" style="3" customWidth="1"/>
    <col min="17" max="17" width="20.1796875" style="3" bestFit="1" customWidth="1"/>
    <col min="18" max="18" width="10.7265625" style="3" bestFit="1" customWidth="1"/>
    <col min="19" max="19" width="21.453125" style="3" customWidth="1"/>
    <col min="20" max="22" width="11.453125" style="4" customWidth="1"/>
    <col min="23" max="23" width="35.54296875" style="4" bestFit="1" customWidth="1"/>
    <col min="24" max="256" width="11.453125" style="4" customWidth="1"/>
    <col min="257" max="16384" width="8.7265625" style="4"/>
  </cols>
  <sheetData>
    <row r="1" spans="1:25" ht="13" x14ac:dyDescent="0.25">
      <c r="A1" s="13" t="s">
        <v>40</v>
      </c>
      <c r="B1" s="14">
        <v>12345</v>
      </c>
      <c r="D1" s="70" t="s">
        <v>139</v>
      </c>
      <c r="E1" s="53">
        <v>10</v>
      </c>
    </row>
    <row r="2" spans="1:25" ht="13" x14ac:dyDescent="0.25">
      <c r="A2" s="70" t="s">
        <v>272</v>
      </c>
      <c r="B2" s="73">
        <v>512</v>
      </c>
      <c r="D2" s="71" t="s">
        <v>140</v>
      </c>
      <c r="E2" s="53">
        <v>24</v>
      </c>
      <c r="H2" s="4"/>
      <c r="J2" s="15"/>
      <c r="K2" s="16"/>
      <c r="L2" s="17"/>
      <c r="M2" s="17"/>
      <c r="N2" s="17"/>
      <c r="O2" s="17"/>
      <c r="P2" s="17"/>
      <c r="Q2" s="17"/>
      <c r="R2" s="17"/>
      <c r="S2" s="4"/>
    </row>
    <row r="3" spans="1:25" ht="13" x14ac:dyDescent="0.3">
      <c r="A3" s="147" t="s">
        <v>31</v>
      </c>
      <c r="B3" s="148"/>
      <c r="C3" s="148"/>
      <c r="D3" s="148"/>
      <c r="E3" s="148"/>
      <c r="F3" s="148"/>
      <c r="G3" s="148"/>
      <c r="H3" s="148"/>
      <c r="I3" s="148"/>
      <c r="J3" s="148"/>
      <c r="K3" s="148"/>
      <c r="L3" s="148"/>
      <c r="M3" s="148"/>
      <c r="N3" s="148"/>
      <c r="O3" s="148"/>
      <c r="P3" s="148"/>
      <c r="Q3" s="148"/>
      <c r="R3" s="148"/>
      <c r="S3" s="148"/>
    </row>
    <row r="4" spans="1:25" ht="18" x14ac:dyDescent="0.4">
      <c r="A4" s="125" t="s">
        <v>200</v>
      </c>
      <c r="B4" s="149"/>
      <c r="C4" s="149"/>
      <c r="D4" s="149"/>
      <c r="E4" s="149"/>
      <c r="F4" s="149"/>
      <c r="G4" s="149"/>
      <c r="H4" s="149"/>
      <c r="I4" s="149"/>
      <c r="J4" s="149"/>
      <c r="K4" s="149"/>
      <c r="L4" s="149"/>
      <c r="M4" s="149"/>
      <c r="N4" s="149"/>
      <c r="O4" s="149"/>
      <c r="P4" s="149"/>
      <c r="Q4" s="149"/>
      <c r="R4" s="149"/>
      <c r="S4" s="150"/>
    </row>
    <row r="5" spans="1:25" ht="18" customHeight="1" x14ac:dyDescent="0.4">
      <c r="A5" s="125" t="s">
        <v>213</v>
      </c>
      <c r="B5" s="103"/>
      <c r="C5" s="103"/>
      <c r="D5" s="103"/>
      <c r="E5" s="103"/>
      <c r="F5" s="103"/>
      <c r="G5" s="103"/>
      <c r="H5" s="103"/>
      <c r="I5" s="103"/>
      <c r="J5" s="103"/>
      <c r="K5" s="103"/>
      <c r="L5" s="103"/>
      <c r="M5" s="103"/>
      <c r="N5" s="103"/>
      <c r="O5" s="103"/>
      <c r="P5" s="103"/>
      <c r="Q5" s="103"/>
      <c r="R5" s="103"/>
      <c r="S5" s="126"/>
    </row>
    <row r="6" spans="1:25" ht="18" customHeight="1" x14ac:dyDescent="0.4">
      <c r="A6" s="125" t="s">
        <v>386</v>
      </c>
      <c r="B6" s="103"/>
      <c r="C6" s="103"/>
      <c r="D6" s="103"/>
      <c r="E6" s="103"/>
      <c r="F6" s="103"/>
      <c r="G6" s="103"/>
      <c r="H6" s="103"/>
      <c r="I6" s="103"/>
      <c r="J6" s="103"/>
      <c r="K6" s="103"/>
      <c r="L6" s="103"/>
      <c r="M6" s="103"/>
      <c r="N6" s="103"/>
      <c r="O6" s="103"/>
      <c r="P6" s="103"/>
      <c r="Q6" s="103"/>
      <c r="R6" s="103"/>
      <c r="S6" s="103"/>
      <c r="T6" s="103"/>
      <c r="U6" s="103"/>
      <c r="V6" s="103"/>
      <c r="W6" s="103"/>
      <c r="X6" s="103"/>
      <c r="Y6" s="126"/>
    </row>
    <row r="7" spans="1:25" ht="17.5" customHeight="1" x14ac:dyDescent="0.4">
      <c r="A7" s="106" t="s">
        <v>0</v>
      </c>
      <c r="B7" s="107"/>
      <c r="C7" s="107"/>
      <c r="D7" s="107"/>
      <c r="E7" s="107"/>
      <c r="F7" s="108" t="s">
        <v>2</v>
      </c>
      <c r="G7" s="109"/>
      <c r="H7" s="109"/>
      <c r="I7" s="109"/>
      <c r="J7" s="109"/>
      <c r="K7" s="109"/>
      <c r="L7" s="109"/>
      <c r="M7" s="109"/>
      <c r="N7" s="109"/>
      <c r="O7" s="110" t="s">
        <v>136</v>
      </c>
      <c r="P7" s="110"/>
      <c r="Q7" s="111"/>
      <c r="R7" s="111"/>
      <c r="S7" s="111"/>
      <c r="T7" s="111"/>
      <c r="U7" s="111"/>
      <c r="V7" s="111"/>
      <c r="W7" s="111"/>
      <c r="X7" s="111"/>
      <c r="Y7" s="111"/>
    </row>
    <row r="8" spans="1:25" ht="18" x14ac:dyDescent="0.4">
      <c r="A8" s="127"/>
      <c r="B8" s="128"/>
      <c r="C8" s="128"/>
      <c r="D8" s="128"/>
      <c r="E8" s="128"/>
      <c r="F8" s="128"/>
      <c r="G8" s="128"/>
      <c r="H8" s="128"/>
      <c r="I8" s="128"/>
      <c r="J8" s="128"/>
      <c r="K8" s="128"/>
      <c r="L8" s="128"/>
      <c r="M8" s="128"/>
      <c r="N8" s="128"/>
      <c r="O8" s="128"/>
      <c r="P8" s="128"/>
      <c r="Q8" s="128"/>
      <c r="R8" s="128"/>
      <c r="S8" s="128"/>
      <c r="T8" s="128"/>
      <c r="U8" s="128"/>
      <c r="V8" s="128"/>
      <c r="W8" s="128"/>
      <c r="X8" s="128"/>
      <c r="Y8" s="128"/>
    </row>
    <row r="9" spans="1:25" ht="34.9" customHeight="1" x14ac:dyDescent="0.4">
      <c r="A9" s="134" t="s">
        <v>378</v>
      </c>
      <c r="B9" s="135"/>
      <c r="C9" s="136"/>
      <c r="D9" s="92" t="s">
        <v>379</v>
      </c>
      <c r="E9" s="137" t="s">
        <v>378</v>
      </c>
      <c r="F9" s="138"/>
      <c r="G9" s="138"/>
      <c r="H9" s="138"/>
      <c r="I9" s="92" t="s">
        <v>379</v>
      </c>
      <c r="J9" s="94" t="s">
        <v>378</v>
      </c>
      <c r="K9" s="92" t="s">
        <v>379</v>
      </c>
      <c r="L9" s="139" t="s">
        <v>382</v>
      </c>
      <c r="M9" s="140"/>
      <c r="N9" s="141"/>
      <c r="O9" s="94" t="s">
        <v>383</v>
      </c>
      <c r="P9" s="92" t="s">
        <v>379</v>
      </c>
      <c r="Q9" s="93" t="s">
        <v>378</v>
      </c>
      <c r="R9" s="92" t="s">
        <v>379</v>
      </c>
      <c r="S9" s="142" t="s">
        <v>378</v>
      </c>
      <c r="T9" s="103"/>
      <c r="U9" s="126"/>
      <c r="V9" s="92" t="s">
        <v>379</v>
      </c>
      <c r="W9" s="142" t="s">
        <v>378</v>
      </c>
      <c r="X9" s="143"/>
      <c r="Y9" s="144"/>
    </row>
    <row r="10" spans="1:25" ht="18" x14ac:dyDescent="0.4">
      <c r="A10" s="127"/>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row>
    <row r="11" spans="1:25" ht="39.65" customHeight="1" x14ac:dyDescent="0.3">
      <c r="A11" s="7" t="s">
        <v>1</v>
      </c>
      <c r="B11" s="7" t="s">
        <v>115</v>
      </c>
      <c r="C11" s="84" t="s">
        <v>134</v>
      </c>
      <c r="D11" s="84" t="s">
        <v>342</v>
      </c>
      <c r="E11" s="50" t="s">
        <v>135</v>
      </c>
      <c r="F11" s="8" t="s">
        <v>1</v>
      </c>
      <c r="G11" s="8" t="s">
        <v>115</v>
      </c>
      <c r="H11" s="84" t="s">
        <v>134</v>
      </c>
      <c r="I11" s="84" t="s">
        <v>343</v>
      </c>
      <c r="J11" s="50" t="s">
        <v>135</v>
      </c>
      <c r="K11" s="9" t="s">
        <v>384</v>
      </c>
      <c r="L11" s="9" t="s">
        <v>3</v>
      </c>
      <c r="M11" s="10" t="s">
        <v>4</v>
      </c>
      <c r="N11" s="11" t="s">
        <v>22</v>
      </c>
      <c r="O11" s="18" t="s">
        <v>23</v>
      </c>
      <c r="P11" s="12" t="s">
        <v>380</v>
      </c>
      <c r="Q11" s="12" t="s">
        <v>24</v>
      </c>
      <c r="R11" s="12" t="s">
        <v>381</v>
      </c>
      <c r="S11" s="12" t="s">
        <v>35</v>
      </c>
      <c r="T11" s="12" t="s">
        <v>25</v>
      </c>
      <c r="U11" s="12" t="s">
        <v>33</v>
      </c>
      <c r="V11" s="12" t="s">
        <v>344</v>
      </c>
      <c r="W11" s="110" t="s">
        <v>34</v>
      </c>
      <c r="X11" s="114"/>
      <c r="Y11" s="12" t="s">
        <v>32</v>
      </c>
    </row>
    <row r="12" spans="1:25" ht="50" x14ac:dyDescent="0.25">
      <c r="A12" s="22" t="s">
        <v>163</v>
      </c>
      <c r="B12" s="22" t="s">
        <v>177</v>
      </c>
      <c r="C12" s="51" t="s">
        <v>180</v>
      </c>
      <c r="D12" s="51"/>
      <c r="E12" s="52" t="s">
        <v>126</v>
      </c>
      <c r="F12" s="54" t="s">
        <v>164</v>
      </c>
      <c r="G12" s="23" t="s">
        <v>181</v>
      </c>
      <c r="H12" s="51" t="s">
        <v>181</v>
      </c>
      <c r="I12" s="51"/>
      <c r="J12" s="52" t="s">
        <v>122</v>
      </c>
      <c r="K12" s="24"/>
      <c r="L12" s="24" t="s">
        <v>154</v>
      </c>
      <c r="M12" s="25" t="s">
        <v>155</v>
      </c>
      <c r="N12" s="26">
        <v>8569</v>
      </c>
      <c r="O12" s="28" t="s">
        <v>145</v>
      </c>
      <c r="P12" s="28"/>
      <c r="Q12" s="27" t="s">
        <v>156</v>
      </c>
      <c r="R12" s="27"/>
      <c r="S12" s="27" t="s">
        <v>157</v>
      </c>
      <c r="T12" s="27" t="s">
        <v>150</v>
      </c>
      <c r="U12" s="27" t="s">
        <v>165</v>
      </c>
      <c r="V12" s="27"/>
      <c r="W12" s="115"/>
      <c r="X12" s="116"/>
      <c r="Y12" s="21" t="str">
        <f t="shared" ref="Y12:Y29" si="0">IF(A12="","",CONCATENATE(X12,(IF(O12="","",CONCATENATE(" ",U12)))," ",$B$1))</f>
        <v xml:space="preserve"> DB-123456 Tracking ID# 78901234 12345</v>
      </c>
    </row>
    <row r="13" spans="1:25" ht="25" x14ac:dyDescent="0.25">
      <c r="A13" s="22" t="s">
        <v>166</v>
      </c>
      <c r="B13" s="22" t="s">
        <v>166</v>
      </c>
      <c r="C13" s="51" t="s">
        <v>185</v>
      </c>
      <c r="D13" s="51"/>
      <c r="E13" s="52" t="s">
        <v>143</v>
      </c>
      <c r="F13" s="54" t="s">
        <v>167</v>
      </c>
      <c r="G13" s="23" t="s">
        <v>168</v>
      </c>
      <c r="H13" s="51" t="s">
        <v>169</v>
      </c>
      <c r="I13" s="51"/>
      <c r="J13" s="52" t="s">
        <v>143</v>
      </c>
      <c r="K13" s="24"/>
      <c r="L13" s="24" t="s">
        <v>161</v>
      </c>
      <c r="M13" s="25" t="s">
        <v>155</v>
      </c>
      <c r="N13" s="26">
        <v>443</v>
      </c>
      <c r="O13" s="28"/>
      <c r="P13" s="28"/>
      <c r="Q13" s="27" t="s">
        <v>159</v>
      </c>
      <c r="R13" s="27"/>
      <c r="S13" s="27" t="s">
        <v>162</v>
      </c>
      <c r="T13" s="27" t="s">
        <v>160</v>
      </c>
      <c r="U13" s="27" t="s">
        <v>158</v>
      </c>
      <c r="V13" s="27"/>
      <c r="W13" s="115"/>
      <c r="X13" s="116"/>
      <c r="Y13" s="21" t="str">
        <f t="shared" si="0"/>
        <v xml:space="preserve"> 12345</v>
      </c>
    </row>
    <row r="14" spans="1:25" ht="50" x14ac:dyDescent="0.25">
      <c r="A14" s="22" t="s">
        <v>186</v>
      </c>
      <c r="B14" s="22" t="s">
        <v>186</v>
      </c>
      <c r="C14" s="51" t="s">
        <v>187</v>
      </c>
      <c r="D14" s="51"/>
      <c r="E14" s="52" t="s">
        <v>117</v>
      </c>
      <c r="F14" s="54" t="s">
        <v>189</v>
      </c>
      <c r="G14" s="54" t="s">
        <v>191</v>
      </c>
      <c r="H14" s="51" t="s">
        <v>190</v>
      </c>
      <c r="I14" s="51"/>
      <c r="J14" s="52" t="s">
        <v>126</v>
      </c>
      <c r="K14" s="24"/>
      <c r="L14" s="24" t="s">
        <v>193</v>
      </c>
      <c r="M14" s="25" t="s">
        <v>155</v>
      </c>
      <c r="N14" s="26">
        <v>3389</v>
      </c>
      <c r="O14" s="28" t="s">
        <v>145</v>
      </c>
      <c r="P14" s="28"/>
      <c r="Q14" s="27" t="s">
        <v>156</v>
      </c>
      <c r="R14" s="27"/>
      <c r="S14" s="27" t="s">
        <v>194</v>
      </c>
      <c r="T14" s="27" t="s">
        <v>195</v>
      </c>
      <c r="U14" s="27" t="s">
        <v>192</v>
      </c>
      <c r="V14" s="27"/>
      <c r="W14" s="115"/>
      <c r="X14" s="116"/>
      <c r="Y14" s="21" t="str">
        <f t="shared" si="0"/>
        <v xml:space="preserve"> DB-123456 Tracking ID# 78901235 12345</v>
      </c>
    </row>
    <row r="15" spans="1:25" ht="100" x14ac:dyDescent="0.25">
      <c r="A15" s="61" t="s">
        <v>210</v>
      </c>
      <c r="B15" s="61" t="s">
        <v>211</v>
      </c>
      <c r="C15" s="51" t="s">
        <v>212</v>
      </c>
      <c r="D15" s="51"/>
      <c r="E15" s="52" t="s">
        <v>117</v>
      </c>
      <c r="F15" s="86" t="s">
        <v>208</v>
      </c>
      <c r="G15" s="86" t="s">
        <v>207</v>
      </c>
      <c r="H15" s="51" t="s">
        <v>209</v>
      </c>
      <c r="I15" s="51"/>
      <c r="J15" s="52" t="s">
        <v>117</v>
      </c>
      <c r="K15" s="24"/>
      <c r="L15" s="87" t="s">
        <v>201</v>
      </c>
      <c r="M15" s="88" t="s">
        <v>155</v>
      </c>
      <c r="N15" s="89" t="s">
        <v>202</v>
      </c>
      <c r="O15" s="28"/>
      <c r="P15" s="28"/>
      <c r="Q15" s="90" t="s">
        <v>203</v>
      </c>
      <c r="R15" s="27"/>
      <c r="S15" s="91" t="s">
        <v>204</v>
      </c>
      <c r="T15" s="90" t="s">
        <v>205</v>
      </c>
      <c r="U15" s="27" t="s">
        <v>206</v>
      </c>
      <c r="V15" s="27"/>
      <c r="W15" s="115"/>
      <c r="X15" s="116"/>
      <c r="Y15" s="21" t="str">
        <f t="shared" si="0"/>
        <v xml:space="preserve"> 12345</v>
      </c>
    </row>
    <row r="16" spans="1:25" ht="25" x14ac:dyDescent="0.25">
      <c r="A16" s="22" t="s">
        <v>348</v>
      </c>
      <c r="B16" s="22" t="s">
        <v>349</v>
      </c>
      <c r="C16" s="51" t="s">
        <v>350</v>
      </c>
      <c r="D16" s="51" t="s">
        <v>351</v>
      </c>
      <c r="E16" s="52" t="s">
        <v>117</v>
      </c>
      <c r="F16" s="23" t="s">
        <v>352</v>
      </c>
      <c r="G16" s="23" t="s">
        <v>353</v>
      </c>
      <c r="H16" s="51" t="s">
        <v>354</v>
      </c>
      <c r="I16" s="51" t="s">
        <v>341</v>
      </c>
      <c r="J16" s="52" t="s">
        <v>126</v>
      </c>
      <c r="K16" s="24" t="s">
        <v>355</v>
      </c>
      <c r="L16" s="24"/>
      <c r="M16" s="25"/>
      <c r="N16" s="26"/>
      <c r="O16" s="28"/>
      <c r="P16" s="27" t="s">
        <v>156</v>
      </c>
      <c r="Q16" s="27" t="s">
        <v>156</v>
      </c>
      <c r="R16" s="27" t="s">
        <v>356</v>
      </c>
      <c r="S16" s="27" t="s">
        <v>357</v>
      </c>
      <c r="T16" s="27" t="s">
        <v>358</v>
      </c>
      <c r="U16" s="27" t="s">
        <v>359</v>
      </c>
      <c r="V16" s="27" t="s">
        <v>385</v>
      </c>
      <c r="W16" s="115"/>
      <c r="X16" s="116"/>
      <c r="Y16" s="21" t="str">
        <f t="shared" si="0"/>
        <v xml:space="preserve"> 12345</v>
      </c>
    </row>
    <row r="17" spans="1:25" x14ac:dyDescent="0.25">
      <c r="A17" s="22" t="s">
        <v>369</v>
      </c>
      <c r="B17" s="22"/>
      <c r="C17" s="51" t="s">
        <v>368</v>
      </c>
      <c r="D17" s="51"/>
      <c r="E17" s="52" t="s">
        <v>117</v>
      </c>
      <c r="F17" s="23" t="s">
        <v>370</v>
      </c>
      <c r="G17" s="23" t="s">
        <v>371</v>
      </c>
      <c r="H17" s="51" t="s">
        <v>372</v>
      </c>
      <c r="I17" s="51"/>
      <c r="J17" s="52" t="s">
        <v>117</v>
      </c>
      <c r="K17" s="24"/>
      <c r="L17" s="24" t="s">
        <v>374</v>
      </c>
      <c r="M17" s="25" t="s">
        <v>373</v>
      </c>
      <c r="N17" s="26">
        <v>161</v>
      </c>
      <c r="O17" s="28"/>
      <c r="P17" s="28"/>
      <c r="Q17" s="27" t="s">
        <v>375</v>
      </c>
      <c r="R17" s="27"/>
      <c r="S17" s="27" t="s">
        <v>156</v>
      </c>
      <c r="T17" s="27"/>
      <c r="U17" s="27" t="s">
        <v>376</v>
      </c>
      <c r="V17" s="27"/>
      <c r="W17" s="115"/>
      <c r="X17" s="116"/>
      <c r="Y17" s="21" t="str">
        <f t="shared" si="0"/>
        <v xml:space="preserve"> 12345</v>
      </c>
    </row>
    <row r="18" spans="1:25" x14ac:dyDescent="0.25">
      <c r="A18" s="22"/>
      <c r="B18" s="22"/>
      <c r="C18" s="51"/>
      <c r="D18" s="51"/>
      <c r="E18" s="52"/>
      <c r="F18" s="23"/>
      <c r="G18" s="23"/>
      <c r="H18" s="51"/>
      <c r="I18" s="51"/>
      <c r="J18" s="52"/>
      <c r="K18" s="24"/>
      <c r="L18" s="24"/>
      <c r="M18" s="25"/>
      <c r="N18" s="26"/>
      <c r="O18" s="28"/>
      <c r="P18" s="28"/>
      <c r="Q18" s="27"/>
      <c r="R18" s="27"/>
      <c r="S18" s="27"/>
      <c r="T18" s="27"/>
      <c r="U18" s="27"/>
      <c r="V18" s="27"/>
      <c r="W18" s="115"/>
      <c r="X18" s="116"/>
      <c r="Y18" s="21" t="str">
        <f t="shared" si="0"/>
        <v/>
      </c>
    </row>
    <row r="19" spans="1:25" x14ac:dyDescent="0.25">
      <c r="A19" s="22"/>
      <c r="B19" s="22"/>
      <c r="C19" s="51"/>
      <c r="D19" s="51"/>
      <c r="E19" s="52"/>
      <c r="F19" s="23"/>
      <c r="G19" s="23"/>
      <c r="H19" s="51"/>
      <c r="I19" s="51"/>
      <c r="J19" s="52"/>
      <c r="K19" s="24"/>
      <c r="L19" s="24"/>
      <c r="M19" s="25"/>
      <c r="N19" s="26"/>
      <c r="O19" s="28"/>
      <c r="P19" s="28"/>
      <c r="Q19" s="27"/>
      <c r="R19" s="27"/>
      <c r="S19" s="27"/>
      <c r="T19" s="27"/>
      <c r="U19" s="27"/>
      <c r="V19" s="27"/>
      <c r="W19" s="115"/>
      <c r="X19" s="116"/>
      <c r="Y19" s="21" t="str">
        <f t="shared" si="0"/>
        <v/>
      </c>
    </row>
    <row r="20" spans="1:25" x14ac:dyDescent="0.25">
      <c r="A20" s="22"/>
      <c r="B20" s="22"/>
      <c r="C20" s="51"/>
      <c r="D20" s="51"/>
      <c r="E20" s="52"/>
      <c r="F20" s="23"/>
      <c r="G20" s="23"/>
      <c r="H20" s="51"/>
      <c r="I20" s="51"/>
      <c r="J20" s="52"/>
      <c r="K20" s="24"/>
      <c r="L20" s="24"/>
      <c r="M20" s="25"/>
      <c r="N20" s="26"/>
      <c r="O20" s="28"/>
      <c r="P20" s="28"/>
      <c r="Q20" s="27"/>
      <c r="R20" s="27"/>
      <c r="S20" s="27"/>
      <c r="T20" s="27"/>
      <c r="U20" s="27"/>
      <c r="V20" s="27"/>
      <c r="W20" s="115"/>
      <c r="X20" s="116"/>
      <c r="Y20" s="21" t="str">
        <f t="shared" si="0"/>
        <v/>
      </c>
    </row>
    <row r="21" spans="1:25" x14ac:dyDescent="0.25">
      <c r="A21" s="22"/>
      <c r="B21" s="22"/>
      <c r="C21" s="51"/>
      <c r="D21" s="51"/>
      <c r="E21" s="52"/>
      <c r="F21" s="23"/>
      <c r="G21" s="23"/>
      <c r="H21" s="51"/>
      <c r="I21" s="51"/>
      <c r="J21" s="52"/>
      <c r="K21" s="24"/>
      <c r="L21" s="24"/>
      <c r="M21" s="25"/>
      <c r="N21" s="26"/>
      <c r="O21" s="28"/>
      <c r="P21" s="28"/>
      <c r="Q21" s="27"/>
      <c r="R21" s="27"/>
      <c r="S21" s="27"/>
      <c r="T21" s="27"/>
      <c r="U21" s="27"/>
      <c r="V21" s="27"/>
      <c r="W21" s="115"/>
      <c r="X21" s="116"/>
      <c r="Y21" s="21" t="str">
        <f t="shared" si="0"/>
        <v/>
      </c>
    </row>
    <row r="22" spans="1:25" x14ac:dyDescent="0.25">
      <c r="A22" s="22"/>
      <c r="B22" s="22"/>
      <c r="C22" s="51"/>
      <c r="D22" s="51"/>
      <c r="E22" s="52"/>
      <c r="F22" s="23"/>
      <c r="G22" s="23"/>
      <c r="H22" s="51"/>
      <c r="I22" s="51"/>
      <c r="J22" s="52"/>
      <c r="K22" s="24"/>
      <c r="L22" s="24"/>
      <c r="M22" s="25"/>
      <c r="N22" s="26"/>
      <c r="O22" s="28"/>
      <c r="P22" s="28"/>
      <c r="Q22" s="27"/>
      <c r="R22" s="27"/>
      <c r="S22" s="27"/>
      <c r="T22" s="27"/>
      <c r="U22" s="27"/>
      <c r="V22" s="27"/>
      <c r="W22" s="115"/>
      <c r="X22" s="116"/>
      <c r="Y22" s="21" t="str">
        <f t="shared" si="0"/>
        <v/>
      </c>
    </row>
    <row r="23" spans="1:25" x14ac:dyDescent="0.25">
      <c r="A23" s="22"/>
      <c r="B23" s="22"/>
      <c r="C23" s="51"/>
      <c r="D23" s="51"/>
      <c r="E23" s="52"/>
      <c r="F23" s="23"/>
      <c r="G23" s="23"/>
      <c r="H23" s="51"/>
      <c r="I23" s="51"/>
      <c r="J23" s="52"/>
      <c r="K23" s="24"/>
      <c r="L23" s="24"/>
      <c r="M23" s="25"/>
      <c r="N23" s="26"/>
      <c r="O23" s="28"/>
      <c r="P23" s="28"/>
      <c r="Q23" s="27"/>
      <c r="R23" s="27"/>
      <c r="S23" s="27"/>
      <c r="T23" s="27"/>
      <c r="U23" s="27"/>
      <c r="V23" s="27"/>
      <c r="W23" s="115"/>
      <c r="X23" s="116"/>
      <c r="Y23" s="21" t="str">
        <f t="shared" si="0"/>
        <v/>
      </c>
    </row>
    <row r="24" spans="1:25" x14ac:dyDescent="0.25">
      <c r="A24" s="22"/>
      <c r="B24" s="22"/>
      <c r="C24" s="51"/>
      <c r="D24" s="51"/>
      <c r="E24" s="52"/>
      <c r="F24" s="23"/>
      <c r="G24" s="23"/>
      <c r="H24" s="51"/>
      <c r="I24" s="51"/>
      <c r="J24" s="52"/>
      <c r="K24" s="24"/>
      <c r="L24" s="24"/>
      <c r="M24" s="25"/>
      <c r="N24" s="26"/>
      <c r="O24" s="28"/>
      <c r="P24" s="28"/>
      <c r="Q24" s="27"/>
      <c r="R24" s="27"/>
      <c r="S24" s="27"/>
      <c r="T24" s="27"/>
      <c r="U24" s="27"/>
      <c r="V24" s="27"/>
      <c r="W24" s="115"/>
      <c r="X24" s="116"/>
      <c r="Y24" s="21" t="str">
        <f t="shared" si="0"/>
        <v/>
      </c>
    </row>
    <row r="25" spans="1:25" x14ac:dyDescent="0.25">
      <c r="A25" s="22"/>
      <c r="B25" s="22"/>
      <c r="C25" s="51"/>
      <c r="D25" s="51"/>
      <c r="E25" s="52"/>
      <c r="F25" s="23"/>
      <c r="G25" s="23"/>
      <c r="H25" s="51"/>
      <c r="I25" s="51"/>
      <c r="J25" s="52"/>
      <c r="K25" s="24"/>
      <c r="L25" s="24"/>
      <c r="M25" s="25"/>
      <c r="N25" s="26"/>
      <c r="O25" s="28"/>
      <c r="P25" s="28"/>
      <c r="Q25" s="27"/>
      <c r="R25" s="27"/>
      <c r="S25" s="27"/>
      <c r="T25" s="27"/>
      <c r="U25" s="27"/>
      <c r="V25" s="27"/>
      <c r="W25" s="115"/>
      <c r="X25" s="116"/>
      <c r="Y25" s="21" t="str">
        <f t="shared" si="0"/>
        <v/>
      </c>
    </row>
    <row r="26" spans="1:25" x14ac:dyDescent="0.25">
      <c r="A26" s="22"/>
      <c r="B26" s="22"/>
      <c r="C26" s="51"/>
      <c r="D26" s="51"/>
      <c r="E26" s="52"/>
      <c r="F26" s="23"/>
      <c r="G26" s="23"/>
      <c r="H26" s="51"/>
      <c r="I26" s="51"/>
      <c r="J26" s="52"/>
      <c r="K26" s="24"/>
      <c r="L26" s="24"/>
      <c r="M26" s="25"/>
      <c r="N26" s="26"/>
      <c r="O26" s="28"/>
      <c r="P26" s="28"/>
      <c r="Q26" s="27"/>
      <c r="R26" s="27"/>
      <c r="S26" s="27"/>
      <c r="T26" s="27"/>
      <c r="U26" s="27"/>
      <c r="V26" s="27"/>
      <c r="W26" s="115"/>
      <c r="X26" s="116"/>
      <c r="Y26" s="21" t="str">
        <f t="shared" si="0"/>
        <v/>
      </c>
    </row>
    <row r="27" spans="1:25" x14ac:dyDescent="0.25">
      <c r="A27" s="22"/>
      <c r="B27" s="22"/>
      <c r="C27" s="51"/>
      <c r="D27" s="51"/>
      <c r="E27" s="52"/>
      <c r="F27" s="23"/>
      <c r="G27" s="23"/>
      <c r="H27" s="51"/>
      <c r="I27" s="51"/>
      <c r="J27" s="52"/>
      <c r="K27" s="24"/>
      <c r="L27" s="24"/>
      <c r="M27" s="25"/>
      <c r="N27" s="26"/>
      <c r="O27" s="28"/>
      <c r="P27" s="28"/>
      <c r="Q27" s="27"/>
      <c r="R27" s="27"/>
      <c r="S27" s="27"/>
      <c r="T27" s="27"/>
      <c r="U27" s="27"/>
      <c r="V27" s="27"/>
      <c r="W27" s="115"/>
      <c r="X27" s="116"/>
      <c r="Y27" s="21" t="str">
        <f t="shared" si="0"/>
        <v/>
      </c>
    </row>
    <row r="28" spans="1:25" x14ac:dyDescent="0.25">
      <c r="A28" s="22"/>
      <c r="B28" s="22"/>
      <c r="C28" s="51"/>
      <c r="D28" s="51"/>
      <c r="E28" s="52"/>
      <c r="F28" s="23"/>
      <c r="G28" s="23"/>
      <c r="H28" s="51"/>
      <c r="I28" s="51"/>
      <c r="J28" s="52"/>
      <c r="K28" s="24"/>
      <c r="L28" s="24"/>
      <c r="M28" s="25"/>
      <c r="N28" s="26"/>
      <c r="O28" s="28"/>
      <c r="P28" s="28"/>
      <c r="Q28" s="27"/>
      <c r="R28" s="27"/>
      <c r="S28" s="27"/>
      <c r="T28" s="27"/>
      <c r="U28" s="27"/>
      <c r="V28" s="27"/>
      <c r="W28" s="115"/>
      <c r="X28" s="116"/>
      <c r="Y28" s="21" t="str">
        <f t="shared" si="0"/>
        <v/>
      </c>
    </row>
    <row r="29" spans="1:25" x14ac:dyDescent="0.25">
      <c r="A29" s="22"/>
      <c r="B29" s="22"/>
      <c r="C29" s="51"/>
      <c r="D29" s="51"/>
      <c r="E29" s="52"/>
      <c r="F29" s="23"/>
      <c r="G29" s="23"/>
      <c r="H29" s="51"/>
      <c r="I29" s="51"/>
      <c r="J29" s="52"/>
      <c r="K29" s="24"/>
      <c r="L29" s="24"/>
      <c r="M29" s="25"/>
      <c r="N29" s="26"/>
      <c r="O29" s="28"/>
      <c r="P29" s="28"/>
      <c r="Q29" s="27"/>
      <c r="R29" s="27"/>
      <c r="S29" s="27"/>
      <c r="T29" s="27"/>
      <c r="U29" s="27"/>
      <c r="V29" s="27"/>
      <c r="W29" s="115"/>
      <c r="X29" s="116"/>
      <c r="Y29" s="21" t="str">
        <f t="shared" si="0"/>
        <v/>
      </c>
    </row>
    <row r="30" spans="1:25" x14ac:dyDescent="0.25">
      <c r="D30" s="4"/>
      <c r="H30" s="4"/>
      <c r="L30" s="4"/>
      <c r="M30" s="4"/>
      <c r="N30" s="4"/>
      <c r="O30" s="4"/>
      <c r="P30" s="4"/>
      <c r="Q30" s="4"/>
      <c r="R30" s="4"/>
      <c r="S30" s="4"/>
    </row>
    <row r="31" spans="1:25" x14ac:dyDescent="0.25">
      <c r="D31" s="4"/>
      <c r="E31" s="19"/>
      <c r="H31" s="4"/>
      <c r="K31" s="3"/>
    </row>
    <row r="32" spans="1:25" ht="13" x14ac:dyDescent="0.3">
      <c r="A32" s="102" t="s">
        <v>30</v>
      </c>
      <c r="B32" s="105"/>
      <c r="C32" s="105"/>
      <c r="D32" s="105"/>
      <c r="E32" s="105"/>
      <c r="F32" s="105"/>
      <c r="G32" s="105"/>
      <c r="H32" s="105"/>
      <c r="I32" s="105"/>
      <c r="J32" s="105"/>
      <c r="K32" s="105"/>
      <c r="L32" s="105"/>
      <c r="M32" s="105"/>
      <c r="N32" s="105"/>
      <c r="O32" s="105"/>
      <c r="P32" s="105"/>
      <c r="Q32" s="105"/>
      <c r="R32" s="105"/>
      <c r="S32" s="104"/>
      <c r="T32" s="3"/>
      <c r="U32" s="3"/>
    </row>
    <row r="33" spans="1:23" ht="39" x14ac:dyDescent="0.3">
      <c r="A33" s="33" t="s">
        <v>26</v>
      </c>
      <c r="B33" s="33" t="s">
        <v>27</v>
      </c>
      <c r="C33" s="34" t="s">
        <v>138</v>
      </c>
      <c r="D33" s="85" t="s">
        <v>345</v>
      </c>
      <c r="E33" s="112" t="s">
        <v>28</v>
      </c>
      <c r="F33" s="113"/>
      <c r="G33" s="33" t="s">
        <v>29</v>
      </c>
      <c r="H33" s="81" t="s">
        <v>137</v>
      </c>
      <c r="I33" s="81" t="s">
        <v>346</v>
      </c>
      <c r="J33" s="33" t="s">
        <v>347</v>
      </c>
      <c r="K33" s="49" t="s">
        <v>116</v>
      </c>
      <c r="L33" s="117" t="s">
        <v>146</v>
      </c>
      <c r="M33" s="118"/>
      <c r="N33" s="118"/>
      <c r="O33" s="118"/>
      <c r="P33" s="118"/>
      <c r="Q33" s="118"/>
      <c r="R33" s="118"/>
      <c r="S33" s="119"/>
    </row>
    <row r="34" spans="1:23" x14ac:dyDescent="0.25">
      <c r="A34" s="57" t="s">
        <v>170</v>
      </c>
      <c r="B34" s="57" t="s">
        <v>171</v>
      </c>
      <c r="C34" s="57" t="s">
        <v>171</v>
      </c>
      <c r="D34" s="82"/>
      <c r="E34" s="123" t="s">
        <v>172</v>
      </c>
      <c r="F34" s="124"/>
      <c r="G34" s="58" t="s">
        <v>148</v>
      </c>
      <c r="H34" s="59" t="s">
        <v>148</v>
      </c>
      <c r="I34" s="35"/>
      <c r="J34" s="60" t="s">
        <v>173</v>
      </c>
      <c r="K34" s="60" t="s">
        <v>150</v>
      </c>
      <c r="L34" s="146" t="s">
        <v>151</v>
      </c>
      <c r="M34" s="100"/>
      <c r="N34" s="100"/>
      <c r="O34" s="100"/>
      <c r="P34" s="100"/>
      <c r="Q34" s="100"/>
      <c r="R34" s="100"/>
      <c r="S34" s="101"/>
    </row>
    <row r="35" spans="1:23" ht="13.15" customHeight="1" x14ac:dyDescent="0.25">
      <c r="A35" s="57" t="s">
        <v>182</v>
      </c>
      <c r="B35" s="57" t="s">
        <v>183</v>
      </c>
      <c r="C35" s="57" t="s">
        <v>147</v>
      </c>
      <c r="D35" s="82"/>
      <c r="E35" s="123" t="s">
        <v>148</v>
      </c>
      <c r="F35" s="124"/>
      <c r="G35" s="58" t="s">
        <v>184</v>
      </c>
      <c r="H35" s="59" t="s">
        <v>148</v>
      </c>
      <c r="I35" s="35"/>
      <c r="J35" s="60" t="s">
        <v>149</v>
      </c>
      <c r="K35" s="60" t="s">
        <v>150</v>
      </c>
      <c r="L35" s="146" t="s">
        <v>152</v>
      </c>
      <c r="M35" s="100"/>
      <c r="N35" s="100"/>
      <c r="O35" s="100"/>
      <c r="P35" s="100"/>
      <c r="Q35" s="100"/>
      <c r="R35" s="100"/>
      <c r="S35" s="101"/>
    </row>
    <row r="36" spans="1:23" x14ac:dyDescent="0.25">
      <c r="A36" s="6" t="s">
        <v>350</v>
      </c>
      <c r="B36" s="6" t="s">
        <v>354</v>
      </c>
      <c r="C36" s="6" t="s">
        <v>171</v>
      </c>
      <c r="D36" s="82" t="s">
        <v>351</v>
      </c>
      <c r="E36" s="145" t="s">
        <v>360</v>
      </c>
      <c r="F36" s="124"/>
      <c r="G36" s="56" t="s">
        <v>148</v>
      </c>
      <c r="H36" s="35" t="s">
        <v>148</v>
      </c>
      <c r="I36" s="35" t="s">
        <v>341</v>
      </c>
      <c r="J36" s="20" t="s">
        <v>356</v>
      </c>
      <c r="K36" s="20" t="s">
        <v>358</v>
      </c>
      <c r="L36" s="146" t="s">
        <v>152</v>
      </c>
      <c r="M36" s="100"/>
      <c r="N36" s="100"/>
      <c r="O36" s="100"/>
      <c r="P36" s="100"/>
      <c r="Q36" s="100"/>
      <c r="R36" s="100"/>
      <c r="S36" s="101"/>
      <c r="T36" s="67"/>
    </row>
    <row r="37" spans="1:23" x14ac:dyDescent="0.25">
      <c r="A37" s="6"/>
      <c r="B37" s="6"/>
      <c r="C37" s="6"/>
      <c r="D37" s="82"/>
      <c r="E37" s="123"/>
      <c r="F37" s="124"/>
      <c r="G37" s="56"/>
      <c r="H37" s="35"/>
      <c r="I37" s="35"/>
      <c r="J37" s="20"/>
      <c r="K37" s="20"/>
      <c r="L37" s="122"/>
      <c r="M37" s="100"/>
      <c r="N37" s="100"/>
      <c r="O37" s="100"/>
      <c r="P37" s="100"/>
      <c r="Q37" s="100"/>
      <c r="R37" s="100"/>
      <c r="S37" s="101"/>
      <c r="T37" s="67"/>
    </row>
    <row r="38" spans="1:23" x14ac:dyDescent="0.25">
      <c r="A38" s="6"/>
      <c r="B38" s="6"/>
      <c r="C38" s="6"/>
      <c r="D38" s="82"/>
      <c r="E38" s="123"/>
      <c r="F38" s="124"/>
      <c r="G38" s="56"/>
      <c r="H38" s="35"/>
      <c r="I38" s="35"/>
      <c r="J38" s="20"/>
      <c r="K38" s="20"/>
      <c r="L38" s="122"/>
      <c r="M38" s="100"/>
      <c r="N38" s="100"/>
      <c r="O38" s="100"/>
      <c r="P38" s="100"/>
      <c r="Q38" s="100"/>
      <c r="R38" s="100"/>
      <c r="S38" s="101"/>
      <c r="T38" s="67"/>
    </row>
    <row r="39" spans="1:23" x14ac:dyDescent="0.25">
      <c r="A39" s="6"/>
      <c r="B39" s="6"/>
      <c r="C39" s="6"/>
      <c r="D39" s="82"/>
      <c r="E39" s="123"/>
      <c r="F39" s="124"/>
      <c r="G39" s="56"/>
      <c r="H39" s="35"/>
      <c r="I39" s="35"/>
      <c r="J39" s="20"/>
      <c r="K39" s="20"/>
      <c r="L39" s="122"/>
      <c r="M39" s="100"/>
      <c r="N39" s="100"/>
      <c r="O39" s="100"/>
      <c r="P39" s="100"/>
      <c r="Q39" s="100"/>
      <c r="R39" s="100"/>
      <c r="S39" s="101"/>
      <c r="T39" s="67"/>
    </row>
    <row r="40" spans="1:23" x14ac:dyDescent="0.25">
      <c r="A40" s="6"/>
      <c r="B40" s="6"/>
      <c r="C40" s="6"/>
      <c r="D40" s="82"/>
      <c r="E40" s="123"/>
      <c r="F40" s="124"/>
      <c r="G40" s="56"/>
      <c r="H40" s="35"/>
      <c r="I40" s="35"/>
      <c r="J40" s="20"/>
      <c r="K40" s="20"/>
      <c r="L40" s="122"/>
      <c r="M40" s="100"/>
      <c r="N40" s="100"/>
      <c r="O40" s="100"/>
      <c r="P40" s="100"/>
      <c r="Q40" s="100"/>
      <c r="R40" s="100"/>
      <c r="S40" s="101"/>
      <c r="T40" s="67"/>
    </row>
    <row r="41" spans="1:23" x14ac:dyDescent="0.25">
      <c r="D41" s="4"/>
      <c r="E41" s="19"/>
      <c r="H41" s="4"/>
      <c r="J41" s="19"/>
      <c r="L41" s="4"/>
      <c r="M41" s="4"/>
      <c r="T41" s="3"/>
      <c r="U41" s="3"/>
      <c r="V41" s="3"/>
      <c r="W41" s="3"/>
    </row>
    <row r="42" spans="1:23" x14ac:dyDescent="0.25">
      <c r="A42" s="5"/>
      <c r="B42" s="5"/>
      <c r="C42" s="5"/>
      <c r="D42" s="5"/>
      <c r="E42" s="19"/>
      <c r="G42" s="5"/>
      <c r="H42" s="5"/>
      <c r="I42" s="5"/>
      <c r="J42" s="19"/>
      <c r="L42" s="4"/>
      <c r="M42" s="4"/>
      <c r="T42" s="3"/>
      <c r="U42" s="3"/>
      <c r="V42" s="3"/>
      <c r="W42" s="3"/>
    </row>
    <row r="43" spans="1:23" ht="13" x14ac:dyDescent="0.3">
      <c r="A43" s="102" t="s">
        <v>37</v>
      </c>
      <c r="B43" s="103"/>
      <c r="C43" s="103"/>
      <c r="D43" s="103"/>
      <c r="E43" s="103"/>
      <c r="F43" s="103"/>
      <c r="G43" s="100"/>
      <c r="H43" s="100"/>
      <c r="I43" s="100"/>
      <c r="J43" s="100"/>
      <c r="K43" s="100"/>
      <c r="L43" s="100"/>
      <c r="M43" s="100"/>
      <c r="N43" s="100"/>
      <c r="O43" s="100"/>
      <c r="P43" s="100"/>
      <c r="Q43" s="100"/>
      <c r="R43" s="100"/>
      <c r="S43" s="101"/>
      <c r="T43" s="67"/>
      <c r="U43" s="3"/>
      <c r="V43" s="3"/>
      <c r="W43" s="3"/>
    </row>
    <row r="44" spans="1:23" ht="13" x14ac:dyDescent="0.3">
      <c r="A44" s="33" t="s">
        <v>38</v>
      </c>
      <c r="B44" s="33" t="s">
        <v>271</v>
      </c>
      <c r="C44" s="81" t="s">
        <v>36</v>
      </c>
      <c r="D44" s="102" t="s">
        <v>214</v>
      </c>
      <c r="E44" s="104"/>
      <c r="F44" s="81" t="s">
        <v>178</v>
      </c>
      <c r="G44" s="117" t="s">
        <v>39</v>
      </c>
      <c r="H44" s="103"/>
      <c r="I44" s="103"/>
      <c r="J44" s="103"/>
      <c r="K44" s="103"/>
      <c r="L44" s="103"/>
      <c r="M44" s="103"/>
      <c r="N44" s="126"/>
      <c r="O44" s="102" t="s">
        <v>34</v>
      </c>
      <c r="P44" s="105"/>
      <c r="Q44" s="105"/>
      <c r="R44" s="105"/>
      <c r="S44" s="104"/>
      <c r="T44" s="3"/>
      <c r="U44" s="3"/>
      <c r="V44" s="3"/>
    </row>
    <row r="45" spans="1:23" ht="13.15" customHeight="1" x14ac:dyDescent="0.25">
      <c r="A45" s="6" t="s">
        <v>174</v>
      </c>
      <c r="B45" s="6" t="s">
        <v>175</v>
      </c>
      <c r="C45" s="82" t="s">
        <v>153</v>
      </c>
      <c r="D45" s="96" t="s">
        <v>215</v>
      </c>
      <c r="E45" s="97"/>
      <c r="F45" s="66" t="s">
        <v>179</v>
      </c>
      <c r="G45" s="151" t="s">
        <v>196</v>
      </c>
      <c r="H45" s="114"/>
      <c r="I45" s="114"/>
      <c r="J45" s="114"/>
      <c r="K45" s="114"/>
      <c r="L45" s="114"/>
      <c r="M45" s="114"/>
      <c r="N45" s="114"/>
      <c r="O45" s="100"/>
      <c r="P45" s="100"/>
      <c r="Q45" s="100"/>
      <c r="R45" s="100"/>
      <c r="S45" s="101"/>
      <c r="T45" s="3"/>
      <c r="U45" s="3"/>
      <c r="V45" s="3"/>
    </row>
    <row r="46" spans="1:23" ht="57" customHeight="1" x14ac:dyDescent="0.25">
      <c r="A46" s="57" t="s">
        <v>198</v>
      </c>
      <c r="B46" s="57" t="s">
        <v>176</v>
      </c>
      <c r="C46" s="83" t="s">
        <v>197</v>
      </c>
      <c r="D46" s="96" t="s">
        <v>216</v>
      </c>
      <c r="E46" s="99"/>
      <c r="F46" s="66" t="s">
        <v>188</v>
      </c>
      <c r="G46" s="152" t="s">
        <v>199</v>
      </c>
      <c r="H46" s="103"/>
      <c r="I46" s="103"/>
      <c r="J46" s="103"/>
      <c r="K46" s="103"/>
      <c r="L46" s="103"/>
      <c r="M46" s="103"/>
      <c r="N46" s="126"/>
      <c r="O46" s="100"/>
      <c r="P46" s="100"/>
      <c r="Q46" s="100"/>
      <c r="R46" s="100"/>
      <c r="S46" s="101"/>
      <c r="T46" s="3"/>
      <c r="U46" s="3"/>
      <c r="V46" s="3"/>
    </row>
    <row r="47" spans="1:23" x14ac:dyDescent="0.25">
      <c r="A47" s="6"/>
      <c r="B47" s="6"/>
      <c r="C47" s="82"/>
      <c r="D47" s="96"/>
      <c r="E47" s="97"/>
      <c r="F47" s="65"/>
      <c r="G47" s="133"/>
      <c r="H47" s="103"/>
      <c r="I47" s="103"/>
      <c r="J47" s="103"/>
      <c r="K47" s="103"/>
      <c r="L47" s="103"/>
      <c r="M47" s="103"/>
      <c r="N47" s="126"/>
      <c r="O47" s="100"/>
      <c r="P47" s="100"/>
      <c r="Q47" s="100"/>
      <c r="R47" s="100"/>
      <c r="S47" s="101"/>
      <c r="T47" s="3"/>
      <c r="U47" s="3"/>
      <c r="V47" s="3"/>
    </row>
    <row r="48" spans="1:23" x14ac:dyDescent="0.25">
      <c r="A48" s="6"/>
      <c r="B48" s="6"/>
      <c r="C48" s="82"/>
      <c r="D48" s="96"/>
      <c r="E48" s="97"/>
      <c r="F48" s="65"/>
      <c r="G48" s="133"/>
      <c r="H48" s="103"/>
      <c r="I48" s="103"/>
      <c r="J48" s="103"/>
      <c r="K48" s="103"/>
      <c r="L48" s="103"/>
      <c r="M48" s="103"/>
      <c r="N48" s="126"/>
      <c r="O48" s="100"/>
      <c r="P48" s="100"/>
      <c r="Q48" s="100"/>
      <c r="R48" s="100"/>
      <c r="S48" s="101"/>
      <c r="T48" s="3"/>
      <c r="U48" s="3"/>
      <c r="V48" s="3"/>
    </row>
    <row r="49" spans="1:23" x14ac:dyDescent="0.25">
      <c r="A49" s="6"/>
      <c r="B49" s="6"/>
      <c r="C49" s="82"/>
      <c r="D49" s="96"/>
      <c r="E49" s="97"/>
      <c r="F49" s="65"/>
      <c r="G49" s="133"/>
      <c r="H49" s="103"/>
      <c r="I49" s="103"/>
      <c r="J49" s="103"/>
      <c r="K49" s="103"/>
      <c r="L49" s="103"/>
      <c r="M49" s="103"/>
      <c r="N49" s="126"/>
      <c r="O49" s="100"/>
      <c r="P49" s="100"/>
      <c r="Q49" s="100"/>
      <c r="R49" s="100"/>
      <c r="S49" s="101"/>
      <c r="T49" s="3"/>
      <c r="U49" s="3"/>
      <c r="V49" s="3"/>
    </row>
    <row r="50" spans="1:23" x14ac:dyDescent="0.25">
      <c r="A50" s="6"/>
      <c r="B50" s="6"/>
      <c r="C50" s="82"/>
      <c r="D50" s="96"/>
      <c r="E50" s="97"/>
      <c r="F50" s="65"/>
      <c r="G50" s="133"/>
      <c r="H50" s="103"/>
      <c r="I50" s="103"/>
      <c r="J50" s="103"/>
      <c r="K50" s="103"/>
      <c r="L50" s="103"/>
      <c r="M50" s="103"/>
      <c r="N50" s="126"/>
      <c r="O50" s="100"/>
      <c r="P50" s="100"/>
      <c r="Q50" s="100"/>
      <c r="R50" s="100"/>
      <c r="S50" s="101"/>
      <c r="T50" s="3"/>
      <c r="U50" s="3"/>
      <c r="V50" s="3"/>
    </row>
    <row r="51" spans="1:23" x14ac:dyDescent="0.25">
      <c r="A51" s="6"/>
      <c r="B51" s="6"/>
      <c r="C51" s="82"/>
      <c r="D51" s="96"/>
      <c r="E51" s="97"/>
      <c r="F51" s="65"/>
      <c r="G51" s="133"/>
      <c r="H51" s="103"/>
      <c r="I51" s="103"/>
      <c r="J51" s="103"/>
      <c r="K51" s="103"/>
      <c r="L51" s="103"/>
      <c r="M51" s="103"/>
      <c r="N51" s="126"/>
      <c r="O51" s="100"/>
      <c r="P51" s="100"/>
      <c r="Q51" s="100"/>
      <c r="R51" s="100"/>
      <c r="S51" s="101"/>
      <c r="T51" s="3"/>
      <c r="U51" s="3"/>
      <c r="V51" s="3"/>
    </row>
    <row r="52" spans="1:23" x14ac:dyDescent="0.25">
      <c r="D52" s="4"/>
      <c r="E52" s="19"/>
      <c r="H52" s="4"/>
      <c r="J52" s="19"/>
      <c r="L52" s="4"/>
      <c r="M52" s="4"/>
      <c r="T52" s="3"/>
      <c r="U52" s="3"/>
      <c r="V52" s="3"/>
      <c r="W52" s="3"/>
    </row>
    <row r="53" spans="1:23" x14ac:dyDescent="0.25">
      <c r="D53" s="4"/>
      <c r="E53" s="19"/>
      <c r="H53" s="4"/>
      <c r="K53" s="3"/>
      <c r="T53" s="3"/>
    </row>
    <row r="54" spans="1:23" ht="13" x14ac:dyDescent="0.25">
      <c r="A54" s="130" t="s">
        <v>340</v>
      </c>
      <c r="B54" s="131"/>
      <c r="C54" s="131"/>
      <c r="D54" s="131"/>
      <c r="E54" s="131"/>
      <c r="F54" s="132"/>
      <c r="H54" s="4"/>
      <c r="J54" s="3"/>
      <c r="K54" s="3"/>
      <c r="S54" s="4"/>
    </row>
    <row r="55" spans="1:23" x14ac:dyDescent="0.25">
      <c r="A55" s="129" t="s">
        <v>361</v>
      </c>
      <c r="B55" s="100"/>
      <c r="C55" s="100"/>
      <c r="D55" s="100"/>
      <c r="E55" s="100"/>
      <c r="F55" s="101"/>
      <c r="H55" s="4"/>
      <c r="K55" s="3"/>
      <c r="T55" s="3"/>
    </row>
    <row r="56" spans="1:23" x14ac:dyDescent="0.25">
      <c r="A56" s="129" t="s">
        <v>367</v>
      </c>
      <c r="B56" s="100"/>
      <c r="C56" s="100"/>
      <c r="D56" s="100"/>
      <c r="E56" s="100"/>
      <c r="F56" s="101"/>
      <c r="H56" s="4"/>
      <c r="K56" s="3"/>
      <c r="T56" s="3"/>
    </row>
    <row r="57" spans="1:23" x14ac:dyDescent="0.25">
      <c r="A57" s="129" t="s">
        <v>362</v>
      </c>
      <c r="B57" s="100"/>
      <c r="C57" s="100"/>
      <c r="D57" s="100"/>
      <c r="E57" s="100"/>
      <c r="F57" s="101"/>
      <c r="H57" s="4"/>
      <c r="J57" s="19"/>
      <c r="L57" s="4"/>
      <c r="M57" s="4"/>
      <c r="T57" s="3"/>
      <c r="U57" s="3"/>
      <c r="V57" s="3"/>
      <c r="W57" s="3"/>
    </row>
    <row r="58" spans="1:23" x14ac:dyDescent="0.25">
      <c r="A58" s="153" t="s">
        <v>365</v>
      </c>
      <c r="B58" s="100"/>
      <c r="C58" s="100"/>
      <c r="D58" s="100"/>
      <c r="E58" s="100"/>
      <c r="F58" s="100"/>
      <c r="H58" s="4"/>
      <c r="J58" s="19"/>
      <c r="L58" s="4"/>
      <c r="M58" s="4"/>
      <c r="T58" s="3"/>
      <c r="U58" s="3"/>
      <c r="V58" s="3"/>
      <c r="W58" s="3"/>
    </row>
    <row r="59" spans="1:23" x14ac:dyDescent="0.25">
      <c r="A59" s="129"/>
      <c r="B59" s="100"/>
      <c r="C59" s="100"/>
      <c r="D59" s="100"/>
      <c r="E59" s="100"/>
      <c r="F59" s="101"/>
      <c r="H59" s="4"/>
      <c r="J59" s="19"/>
      <c r="L59" s="4"/>
      <c r="M59" s="4"/>
      <c r="T59" s="3"/>
      <c r="U59" s="3"/>
      <c r="V59" s="3"/>
      <c r="W59" s="3"/>
    </row>
    <row r="60" spans="1:23" x14ac:dyDescent="0.25">
      <c r="A60" s="129"/>
      <c r="B60" s="100"/>
      <c r="C60" s="100"/>
      <c r="D60" s="100"/>
      <c r="E60" s="100"/>
      <c r="F60" s="101"/>
      <c r="H60" s="4"/>
      <c r="J60" s="19"/>
      <c r="L60" s="4"/>
      <c r="M60" s="4"/>
      <c r="T60" s="3"/>
      <c r="U60" s="3"/>
      <c r="V60" s="3"/>
      <c r="W60" s="3"/>
    </row>
    <row r="61" spans="1:23" x14ac:dyDescent="0.25">
      <c r="A61" s="129"/>
      <c r="B61" s="100"/>
      <c r="C61" s="100"/>
      <c r="D61" s="100"/>
      <c r="E61" s="100"/>
      <c r="F61" s="101"/>
      <c r="H61" s="4"/>
      <c r="J61" s="19"/>
      <c r="L61" s="4"/>
      <c r="M61" s="4"/>
      <c r="T61" s="3"/>
      <c r="U61" s="3"/>
      <c r="V61" s="3"/>
      <c r="W61" s="3"/>
    </row>
    <row r="62" spans="1:23" x14ac:dyDescent="0.25">
      <c r="A62" s="129"/>
      <c r="B62" s="100"/>
      <c r="C62" s="100"/>
      <c r="D62" s="100"/>
      <c r="E62" s="100"/>
      <c r="F62" s="101"/>
      <c r="H62" s="4"/>
      <c r="J62" s="19"/>
      <c r="L62" s="4"/>
      <c r="M62" s="4"/>
      <c r="T62" s="3"/>
      <c r="U62" s="3"/>
      <c r="V62" s="3"/>
      <c r="W62" s="3"/>
    </row>
    <row r="63" spans="1:23" x14ac:dyDescent="0.25">
      <c r="A63" s="129"/>
      <c r="B63" s="100"/>
      <c r="C63" s="100"/>
      <c r="D63" s="100"/>
      <c r="E63" s="100"/>
      <c r="F63" s="101"/>
      <c r="H63" s="4"/>
      <c r="J63" s="19"/>
      <c r="L63" s="4"/>
      <c r="M63" s="4"/>
      <c r="T63" s="3"/>
      <c r="U63" s="3"/>
      <c r="V63" s="3"/>
      <c r="W63" s="3"/>
    </row>
    <row r="64" spans="1:23" x14ac:dyDescent="0.25">
      <c r="A64" s="129"/>
      <c r="B64" s="100"/>
      <c r="C64" s="100"/>
      <c r="D64" s="100"/>
      <c r="E64" s="100"/>
      <c r="F64" s="101"/>
      <c r="H64" s="4"/>
      <c r="J64" s="19"/>
      <c r="L64" s="4"/>
      <c r="M64" s="4"/>
      <c r="T64" s="3"/>
      <c r="U64" s="3"/>
      <c r="V64" s="3"/>
      <c r="W64" s="3"/>
    </row>
    <row r="65" spans="1:23" x14ac:dyDescent="0.25">
      <c r="D65" s="4"/>
      <c r="E65" s="19"/>
      <c r="H65" s="4"/>
      <c r="J65" s="19"/>
      <c r="L65" s="4"/>
      <c r="M65" s="4"/>
      <c r="T65" s="3"/>
      <c r="U65" s="3"/>
      <c r="V65" s="3"/>
      <c r="W65" s="3"/>
    </row>
    <row r="66" spans="1:23" x14ac:dyDescent="0.25">
      <c r="D66" s="4"/>
      <c r="E66" s="19"/>
      <c r="H66" s="4"/>
      <c r="J66" s="19"/>
      <c r="L66" s="4"/>
      <c r="M66" s="4"/>
      <c r="T66" s="3"/>
      <c r="U66" s="3"/>
      <c r="V66" s="3"/>
      <c r="W66" s="3"/>
    </row>
    <row r="67" spans="1:23" ht="13" x14ac:dyDescent="0.25">
      <c r="A67" s="130" t="s">
        <v>339</v>
      </c>
      <c r="B67" s="131"/>
      <c r="C67" s="131"/>
      <c r="D67" s="131"/>
      <c r="E67" s="131"/>
      <c r="F67" s="132"/>
      <c r="H67" s="4"/>
      <c r="J67" s="19"/>
      <c r="L67" s="4"/>
      <c r="M67" s="4"/>
      <c r="T67" s="3"/>
      <c r="U67" s="3"/>
      <c r="V67" s="3"/>
      <c r="W67" s="3"/>
    </row>
    <row r="68" spans="1:23" x14ac:dyDescent="0.25">
      <c r="A68" s="129" t="s">
        <v>363</v>
      </c>
      <c r="B68" s="100"/>
      <c r="C68" s="100"/>
      <c r="D68" s="100"/>
      <c r="E68" s="100"/>
      <c r="F68" s="101"/>
      <c r="H68" s="4"/>
      <c r="J68" s="19"/>
      <c r="L68" s="4"/>
      <c r="M68" s="4"/>
      <c r="T68" s="3"/>
      <c r="U68" s="3"/>
      <c r="V68" s="3"/>
      <c r="W68" s="3"/>
    </row>
    <row r="69" spans="1:23" x14ac:dyDescent="0.25">
      <c r="A69" s="129" t="s">
        <v>366</v>
      </c>
      <c r="B69" s="100"/>
      <c r="C69" s="100"/>
      <c r="D69" s="100"/>
      <c r="E69" s="100"/>
      <c r="F69" s="101"/>
      <c r="H69" s="4"/>
      <c r="J69" s="19"/>
      <c r="L69" s="4"/>
      <c r="M69" s="4"/>
      <c r="T69" s="3"/>
      <c r="U69" s="3"/>
      <c r="V69" s="3"/>
      <c r="W69" s="3"/>
    </row>
    <row r="70" spans="1:23" x14ac:dyDescent="0.25">
      <c r="A70" s="129" t="s">
        <v>364</v>
      </c>
      <c r="B70" s="100"/>
      <c r="C70" s="100"/>
      <c r="D70" s="100"/>
      <c r="E70" s="100"/>
      <c r="F70" s="101"/>
      <c r="H70" s="4"/>
      <c r="J70" s="19"/>
      <c r="L70" s="4"/>
      <c r="M70" s="4"/>
      <c r="T70" s="3"/>
      <c r="U70" s="3"/>
      <c r="V70" s="3"/>
      <c r="W70" s="3"/>
    </row>
    <row r="71" spans="1:23" x14ac:dyDescent="0.25">
      <c r="A71" s="129" t="s">
        <v>365</v>
      </c>
      <c r="B71" s="100"/>
      <c r="C71" s="100"/>
      <c r="D71" s="100"/>
      <c r="E71" s="100"/>
      <c r="F71" s="101"/>
      <c r="H71" s="4"/>
      <c r="J71" s="19"/>
      <c r="L71" s="4"/>
      <c r="M71" s="4"/>
      <c r="T71" s="3"/>
      <c r="U71" s="3"/>
      <c r="V71" s="3"/>
      <c r="W71" s="3"/>
    </row>
    <row r="72" spans="1:23" x14ac:dyDescent="0.25">
      <c r="A72" s="129"/>
      <c r="B72" s="100"/>
      <c r="C72" s="100"/>
      <c r="D72" s="100"/>
      <c r="E72" s="100"/>
      <c r="F72" s="101"/>
      <c r="H72" s="4"/>
      <c r="J72" s="19"/>
      <c r="L72" s="4"/>
      <c r="M72" s="4"/>
      <c r="T72" s="3"/>
      <c r="U72" s="3"/>
      <c r="V72" s="3"/>
      <c r="W72" s="3"/>
    </row>
    <row r="73" spans="1:23" x14ac:dyDescent="0.25">
      <c r="A73" s="129"/>
      <c r="B73" s="100"/>
      <c r="C73" s="100"/>
      <c r="D73" s="100"/>
      <c r="E73" s="100"/>
      <c r="F73" s="101"/>
      <c r="H73" s="4"/>
      <c r="J73" s="19"/>
      <c r="L73" s="4"/>
      <c r="M73" s="4"/>
      <c r="T73" s="3"/>
      <c r="U73" s="3"/>
      <c r="V73" s="3"/>
      <c r="W73" s="3"/>
    </row>
    <row r="74" spans="1:23" x14ac:dyDescent="0.25">
      <c r="A74" s="129"/>
      <c r="B74" s="100"/>
      <c r="C74" s="100"/>
      <c r="D74" s="100"/>
      <c r="E74" s="100"/>
      <c r="F74" s="101"/>
      <c r="H74" s="4"/>
      <c r="J74" s="19"/>
      <c r="L74" s="4"/>
      <c r="M74" s="4"/>
      <c r="T74" s="3"/>
      <c r="U74" s="3"/>
      <c r="V74" s="3"/>
      <c r="W74" s="3"/>
    </row>
    <row r="75" spans="1:23" x14ac:dyDescent="0.25">
      <c r="A75" s="129"/>
      <c r="B75" s="100"/>
      <c r="C75" s="100"/>
      <c r="D75" s="100"/>
      <c r="E75" s="100"/>
      <c r="F75" s="101"/>
      <c r="H75" s="4"/>
      <c r="J75" s="19"/>
      <c r="L75" s="4"/>
      <c r="M75" s="4"/>
      <c r="T75" s="3"/>
      <c r="U75" s="3"/>
      <c r="V75" s="3"/>
      <c r="W75" s="3"/>
    </row>
    <row r="76" spans="1:23" x14ac:dyDescent="0.25">
      <c r="A76" s="129"/>
      <c r="B76" s="100"/>
      <c r="C76" s="100"/>
      <c r="D76" s="100"/>
      <c r="E76" s="100"/>
      <c r="F76" s="101"/>
      <c r="H76" s="4"/>
      <c r="J76" s="19"/>
      <c r="L76" s="4"/>
      <c r="M76" s="4"/>
      <c r="T76" s="3"/>
      <c r="U76" s="3"/>
      <c r="V76" s="3"/>
      <c r="W76" s="3"/>
    </row>
    <row r="77" spans="1:23" x14ac:dyDescent="0.25">
      <c r="A77" s="129"/>
      <c r="B77" s="100"/>
      <c r="C77" s="100"/>
      <c r="D77" s="100"/>
      <c r="E77" s="100"/>
      <c r="F77" s="101"/>
      <c r="H77" s="4"/>
      <c r="J77" s="19"/>
      <c r="L77" s="4"/>
      <c r="M77" s="4"/>
      <c r="T77" s="3"/>
      <c r="U77" s="3"/>
      <c r="V77" s="3"/>
      <c r="W77" s="3"/>
    </row>
  </sheetData>
  <protectedRanges>
    <protectedRange sqref="O12:P12" name="Firewall Only_2_1_1_1"/>
    <protectedRange sqref="Q15" name="Firewall Only_2_1_1_1_1"/>
    <protectedRange sqref="S15" name="Firewall Only_2_1_1_1_2"/>
  </protectedRanges>
  <mergeCells count="97">
    <mergeCell ref="W29:X29"/>
    <mergeCell ref="S9:U9"/>
    <mergeCell ref="W9:Y9"/>
    <mergeCell ref="W21:X21"/>
    <mergeCell ref="W22:X22"/>
    <mergeCell ref="W23:X23"/>
    <mergeCell ref="W24:X24"/>
    <mergeCell ref="W25:X25"/>
    <mergeCell ref="W16:X16"/>
    <mergeCell ref="W17:X17"/>
    <mergeCell ref="W18:X18"/>
    <mergeCell ref="W19:X19"/>
    <mergeCell ref="W20:X20"/>
    <mergeCell ref="W14:X14"/>
    <mergeCell ref="W15:X15"/>
    <mergeCell ref="W26:X26"/>
    <mergeCell ref="W27:X27"/>
    <mergeCell ref="W28:X28"/>
    <mergeCell ref="A54:F54"/>
    <mergeCell ref="A55:F55"/>
    <mergeCell ref="A57:F57"/>
    <mergeCell ref="E39:F39"/>
    <mergeCell ref="L39:S39"/>
    <mergeCell ref="E40:F40"/>
    <mergeCell ref="L40:S40"/>
    <mergeCell ref="A43:S43"/>
    <mergeCell ref="D51:E51"/>
    <mergeCell ref="G51:N51"/>
    <mergeCell ref="O51:S51"/>
    <mergeCell ref="D49:E49"/>
    <mergeCell ref="G49:N49"/>
    <mergeCell ref="D50:E50"/>
    <mergeCell ref="A59:F59"/>
    <mergeCell ref="A58:F58"/>
    <mergeCell ref="A56:F56"/>
    <mergeCell ref="A60:F60"/>
    <mergeCell ref="A61:F61"/>
    <mergeCell ref="A62:F62"/>
    <mergeCell ref="A63:F63"/>
    <mergeCell ref="A64:F64"/>
    <mergeCell ref="A74:F74"/>
    <mergeCell ref="A75:F75"/>
    <mergeCell ref="A76:F76"/>
    <mergeCell ref="A77:F77"/>
    <mergeCell ref="A67:F67"/>
    <mergeCell ref="A68:F68"/>
    <mergeCell ref="A70:F70"/>
    <mergeCell ref="A71:F71"/>
    <mergeCell ref="A72:F72"/>
    <mergeCell ref="A69:F69"/>
    <mergeCell ref="A73:F73"/>
    <mergeCell ref="G50:N50"/>
    <mergeCell ref="O49:S49"/>
    <mergeCell ref="O50:S50"/>
    <mergeCell ref="O47:S47"/>
    <mergeCell ref="O48:S48"/>
    <mergeCell ref="D48:E48"/>
    <mergeCell ref="G48:N48"/>
    <mergeCell ref="D44:E44"/>
    <mergeCell ref="G44:N44"/>
    <mergeCell ref="O44:S44"/>
    <mergeCell ref="O45:S45"/>
    <mergeCell ref="O46:S46"/>
    <mergeCell ref="D45:E45"/>
    <mergeCell ref="G45:N45"/>
    <mergeCell ref="D46:E46"/>
    <mergeCell ref="G46:N46"/>
    <mergeCell ref="D47:E47"/>
    <mergeCell ref="G47:N47"/>
    <mergeCell ref="A3:S3"/>
    <mergeCell ref="A4:S4"/>
    <mergeCell ref="A5:S5"/>
    <mergeCell ref="A7:E7"/>
    <mergeCell ref="F7:N7"/>
    <mergeCell ref="O7:Y7"/>
    <mergeCell ref="A8:Y8"/>
    <mergeCell ref="A6:Y6"/>
    <mergeCell ref="E34:F34"/>
    <mergeCell ref="L34:S34"/>
    <mergeCell ref="E35:F35"/>
    <mergeCell ref="L35:S35"/>
    <mergeCell ref="A32:S32"/>
    <mergeCell ref="E33:F33"/>
    <mergeCell ref="L33:S33"/>
    <mergeCell ref="A9:C9"/>
    <mergeCell ref="E9:H9"/>
    <mergeCell ref="L9:N9"/>
    <mergeCell ref="A10:Y10"/>
    <mergeCell ref="W11:X11"/>
    <mergeCell ref="W12:X12"/>
    <mergeCell ref="W13:X13"/>
    <mergeCell ref="E36:F36"/>
    <mergeCell ref="L36:S36"/>
    <mergeCell ref="E37:F37"/>
    <mergeCell ref="L37:S37"/>
    <mergeCell ref="E38:F38"/>
    <mergeCell ref="L38:S38"/>
  </mergeCells>
  <dataValidations count="4">
    <dataValidation type="list" allowBlank="1" showInputMessage="1" showErrorMessage="1" errorTitle="Use Pulldown" error="Use pulldown to insert checked box" sqref="O12:O29 P12:P15 P17:P29">
      <formula1>"þ"</formula1>
    </dataValidation>
    <dataValidation type="list" allowBlank="1" showInputMessage="1" showErrorMessage="1" sqref="E12:E29 J12:J29">
      <formula1>Def</formula1>
    </dataValidation>
    <dataValidation type="whole" allowBlank="1" showInputMessage="1" showErrorMessage="1" errorTitle="Error" error="That is not a valid port number!" sqref="N11">
      <formula1>1</formula1>
      <formula2>65535</formula2>
    </dataValidation>
    <dataValidation type="list" allowBlank="1" showInputMessage="1" showErrorMessage="1" sqref="M11">
      <formula1>#REF!</formula1>
    </dataValidation>
  </dataValidations>
  <pageMargins left="0.75" right="0.75" top="1" bottom="1" header="0.5" footer="0.5"/>
  <pageSetup paperSize="5" scale="41" fitToHeight="37" orientation="landscape" r:id="rId1"/>
  <headerFooter alignWithMargins="0">
    <oddFooter>&amp;LCapital One Confidential</oddFooter>
  </headerFooter>
  <drawing r:id="rId2"/>
  <legacyDrawing r:id="rId3"/>
  <controls>
    <mc:AlternateContent xmlns:mc="http://schemas.openxmlformats.org/markup-compatibility/2006">
      <mc:Choice Requires="x14">
        <control shapeId="16407" r:id="rId4" name="Label2">
          <controlPr defaultSize="0" autoLine="0" r:id="rId5">
            <anchor moveWithCells="1" sizeWithCells="1">
              <from>
                <xdr:col>8</xdr:col>
                <xdr:colOff>95250</xdr:colOff>
                <xdr:row>52</xdr:row>
                <xdr:rowOff>95250</xdr:rowOff>
              </from>
              <to>
                <xdr:col>10</xdr:col>
                <xdr:colOff>241300</xdr:colOff>
                <xdr:row>56</xdr:row>
                <xdr:rowOff>133350</xdr:rowOff>
              </to>
            </anchor>
          </controlPr>
        </control>
      </mc:Choice>
      <mc:Fallback>
        <control shapeId="16407" r:id="rId4" name="Label2"/>
      </mc:Fallback>
    </mc:AlternateContent>
    <mc:AlternateContent xmlns:mc="http://schemas.openxmlformats.org/markup-compatibility/2006">
      <mc:Choice Requires="x14">
        <control shapeId="16406" r:id="rId6" name="Label1">
          <controlPr defaultSize="0" autoLine="0" r:id="rId7">
            <anchor moveWithCells="1" sizeWithCells="1">
              <from>
                <xdr:col>7</xdr:col>
                <xdr:colOff>1200150</xdr:colOff>
                <xdr:row>51</xdr:row>
                <xdr:rowOff>133350</xdr:rowOff>
              </from>
              <to>
                <xdr:col>10</xdr:col>
                <xdr:colOff>450850</xdr:colOff>
                <xdr:row>57</xdr:row>
                <xdr:rowOff>146050</xdr:rowOff>
              </to>
            </anchor>
          </controlPr>
        </control>
      </mc:Choice>
      <mc:Fallback>
        <control shapeId="16406" r:id="rId6" name="Label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88"/>
  <sheetViews>
    <sheetView workbookViewId="0"/>
  </sheetViews>
  <sheetFormatPr defaultColWidth="8.7265625" defaultRowHeight="12.5" x14ac:dyDescent="0.25"/>
  <cols>
    <col min="1" max="1" width="167.7265625" customWidth="1"/>
    <col min="2" max="256" width="11.453125" customWidth="1"/>
  </cols>
  <sheetData>
    <row r="1" spans="1:2" ht="20" x14ac:dyDescent="0.25">
      <c r="A1" s="38" t="s">
        <v>41</v>
      </c>
    </row>
    <row r="2" spans="1:2" ht="15.5" x14ac:dyDescent="0.25">
      <c r="A2" s="39" t="s">
        <v>42</v>
      </c>
    </row>
    <row r="3" spans="1:2" ht="15.5" x14ac:dyDescent="0.25">
      <c r="A3" s="39"/>
    </row>
    <row r="4" spans="1:2" ht="17.5" x14ac:dyDescent="0.25">
      <c r="A4" s="40" t="s">
        <v>43</v>
      </c>
    </row>
    <row r="5" spans="1:2" ht="16.5" x14ac:dyDescent="0.25">
      <c r="A5" s="41" t="s">
        <v>44</v>
      </c>
    </row>
    <row r="6" spans="1:2" ht="15.5" x14ac:dyDescent="0.25">
      <c r="A6" s="42" t="s">
        <v>45</v>
      </c>
    </row>
    <row r="7" spans="1:2" ht="15.5" x14ac:dyDescent="0.25">
      <c r="A7" s="42" t="s">
        <v>46</v>
      </c>
    </row>
    <row r="8" spans="1:2" ht="31" x14ac:dyDescent="0.25">
      <c r="A8" s="42" t="s">
        <v>47</v>
      </c>
    </row>
    <row r="9" spans="1:2" ht="16.5" x14ac:dyDescent="0.25">
      <c r="A9" s="41" t="s">
        <v>48</v>
      </c>
    </row>
    <row r="10" spans="1:2" ht="15.5" x14ac:dyDescent="0.25">
      <c r="A10" s="43" t="s">
        <v>49</v>
      </c>
    </row>
    <row r="11" spans="1:2" ht="15" x14ac:dyDescent="0.25">
      <c r="A11" s="44" t="s">
        <v>50</v>
      </c>
    </row>
    <row r="12" spans="1:2" ht="15.5" x14ac:dyDescent="0.25">
      <c r="A12" s="43" t="s">
        <v>51</v>
      </c>
    </row>
    <row r="13" spans="1:2" ht="15.5" x14ac:dyDescent="0.25">
      <c r="A13" s="37" t="s">
        <v>128</v>
      </c>
      <c r="B13" s="36"/>
    </row>
    <row r="14" spans="1:2" ht="15.5" x14ac:dyDescent="0.25">
      <c r="A14" s="43" t="s">
        <v>52</v>
      </c>
    </row>
    <row r="15" spans="1:2" ht="15.5" x14ac:dyDescent="0.25">
      <c r="A15" s="37" t="s">
        <v>129</v>
      </c>
      <c r="B15" s="36"/>
    </row>
    <row r="16" spans="1:2" ht="15.5" x14ac:dyDescent="0.25">
      <c r="A16" s="42" t="s">
        <v>53</v>
      </c>
    </row>
    <row r="17" spans="1:1" ht="15.5" x14ac:dyDescent="0.25">
      <c r="A17" s="45" t="s">
        <v>54</v>
      </c>
    </row>
    <row r="18" spans="1:1" ht="15.5" x14ac:dyDescent="0.25">
      <c r="A18" s="45" t="s">
        <v>55</v>
      </c>
    </row>
    <row r="19" spans="1:1" ht="15.5" x14ac:dyDescent="0.25">
      <c r="A19" s="45" t="s">
        <v>56</v>
      </c>
    </row>
    <row r="20" spans="1:1" ht="15.5" x14ac:dyDescent="0.25">
      <c r="A20" s="42" t="s">
        <v>57</v>
      </c>
    </row>
    <row r="21" spans="1:1" ht="15.5" x14ac:dyDescent="0.25">
      <c r="A21" s="45" t="s">
        <v>58</v>
      </c>
    </row>
    <row r="22" spans="1:1" ht="15.5" x14ac:dyDescent="0.25">
      <c r="A22" s="45" t="s">
        <v>59</v>
      </c>
    </row>
    <row r="23" spans="1:1" ht="15.5" x14ac:dyDescent="0.25">
      <c r="A23" s="42" t="s">
        <v>60</v>
      </c>
    </row>
    <row r="24" spans="1:1" ht="15.5" x14ac:dyDescent="0.25">
      <c r="A24" s="42" t="s">
        <v>61</v>
      </c>
    </row>
    <row r="25" spans="1:1" ht="15.5" x14ac:dyDescent="0.25">
      <c r="A25" s="45" t="s">
        <v>62</v>
      </c>
    </row>
    <row r="26" spans="1:1" ht="15.5" x14ac:dyDescent="0.25">
      <c r="A26" s="42" t="s">
        <v>63</v>
      </c>
    </row>
    <row r="27" spans="1:1" ht="15.5" x14ac:dyDescent="0.25">
      <c r="A27" s="42" t="s">
        <v>64</v>
      </c>
    </row>
    <row r="28" spans="1:1" ht="15.5" x14ac:dyDescent="0.25">
      <c r="A28" s="45" t="s">
        <v>65</v>
      </c>
    </row>
    <row r="29" spans="1:1" ht="15.5" x14ac:dyDescent="0.25">
      <c r="A29" s="46" t="s">
        <v>66</v>
      </c>
    </row>
    <row r="30" spans="1:1" ht="15.5" x14ac:dyDescent="0.25">
      <c r="A30" s="42" t="s">
        <v>67</v>
      </c>
    </row>
    <row r="31" spans="1:1" ht="15.5" x14ac:dyDescent="0.25">
      <c r="A31" s="45" t="s">
        <v>68</v>
      </c>
    </row>
    <row r="32" spans="1:1" ht="15.5" x14ac:dyDescent="0.25">
      <c r="A32" s="45" t="s">
        <v>69</v>
      </c>
    </row>
    <row r="33" spans="1:1" ht="15.5" x14ac:dyDescent="0.25">
      <c r="A33" s="46" t="s">
        <v>70</v>
      </c>
    </row>
    <row r="34" spans="1:1" ht="16.5" x14ac:dyDescent="0.25">
      <c r="A34" s="41" t="s">
        <v>71</v>
      </c>
    </row>
    <row r="35" spans="1:1" ht="15.5" x14ac:dyDescent="0.25">
      <c r="A35" s="46"/>
    </row>
    <row r="36" spans="1:1" ht="15.5" x14ac:dyDescent="0.25">
      <c r="A36" s="43" t="s">
        <v>72</v>
      </c>
    </row>
    <row r="37" spans="1:1" ht="15.5" x14ac:dyDescent="0.25">
      <c r="A37" s="36" t="s">
        <v>73</v>
      </c>
    </row>
    <row r="38" spans="1:1" ht="15.5" x14ac:dyDescent="0.25">
      <c r="A38" s="42" t="s">
        <v>74</v>
      </c>
    </row>
    <row r="39" spans="1:1" ht="15.5" x14ac:dyDescent="0.25">
      <c r="A39" s="45" t="s">
        <v>75</v>
      </c>
    </row>
    <row r="40" spans="1:1" ht="31" x14ac:dyDescent="0.25">
      <c r="A40" s="45" t="s">
        <v>76</v>
      </c>
    </row>
    <row r="41" spans="1:1" ht="15.5" x14ac:dyDescent="0.25">
      <c r="A41" s="42" t="s">
        <v>77</v>
      </c>
    </row>
    <row r="42" spans="1:1" ht="15.5" x14ac:dyDescent="0.25">
      <c r="A42" s="42" t="s">
        <v>78</v>
      </c>
    </row>
    <row r="43" spans="1:1" ht="15.5" x14ac:dyDescent="0.25">
      <c r="A43" s="42" t="s">
        <v>79</v>
      </c>
    </row>
    <row r="44" spans="1:1" ht="15.5" x14ac:dyDescent="0.25">
      <c r="A44" s="42" t="s">
        <v>80</v>
      </c>
    </row>
    <row r="45" spans="1:1" ht="16.5" x14ac:dyDescent="0.25">
      <c r="A45" s="41" t="s">
        <v>81</v>
      </c>
    </row>
    <row r="46" spans="1:1" ht="15.5" x14ac:dyDescent="0.25">
      <c r="A46" s="43" t="s">
        <v>82</v>
      </c>
    </row>
    <row r="47" spans="1:1" ht="15.5" x14ac:dyDescent="0.25">
      <c r="A47" s="42" t="s">
        <v>83</v>
      </c>
    </row>
    <row r="48" spans="1:1" ht="15.5" x14ac:dyDescent="0.25">
      <c r="A48" s="42" t="s">
        <v>84</v>
      </c>
    </row>
    <row r="49" spans="1:1" ht="15.5" x14ac:dyDescent="0.25">
      <c r="A49" s="42" t="s">
        <v>77</v>
      </c>
    </row>
    <row r="50" spans="1:1" ht="15.5" x14ac:dyDescent="0.25">
      <c r="A50" s="45" t="s">
        <v>85</v>
      </c>
    </row>
    <row r="51" spans="1:1" ht="15.5" x14ac:dyDescent="0.25">
      <c r="A51" s="45" t="s">
        <v>86</v>
      </c>
    </row>
    <row r="52" spans="1:1" ht="15.5" x14ac:dyDescent="0.25">
      <c r="A52" s="42" t="s">
        <v>87</v>
      </c>
    </row>
    <row r="53" spans="1:1" ht="16.5" x14ac:dyDescent="0.25">
      <c r="A53" s="41" t="s">
        <v>88</v>
      </c>
    </row>
    <row r="54" spans="1:1" ht="31" x14ac:dyDescent="0.25">
      <c r="A54" s="42" t="s">
        <v>89</v>
      </c>
    </row>
    <row r="55" spans="1:1" ht="16.5" x14ac:dyDescent="0.25">
      <c r="A55" s="41" t="s">
        <v>90</v>
      </c>
    </row>
    <row r="56" spans="1:1" ht="15.5" x14ac:dyDescent="0.25">
      <c r="A56" s="42" t="s">
        <v>91</v>
      </c>
    </row>
    <row r="57" spans="1:1" ht="15.5" x14ac:dyDescent="0.25">
      <c r="A57" s="42" t="s">
        <v>92</v>
      </c>
    </row>
    <row r="58" spans="1:1" ht="15.5" x14ac:dyDescent="0.25">
      <c r="A58" s="45" t="s">
        <v>93</v>
      </c>
    </row>
    <row r="59" spans="1:1" ht="15.5" x14ac:dyDescent="0.25">
      <c r="A59" s="42" t="s">
        <v>94</v>
      </c>
    </row>
    <row r="60" spans="1:1" ht="15.5" x14ac:dyDescent="0.25">
      <c r="A60" s="42" t="s">
        <v>95</v>
      </c>
    </row>
    <row r="61" spans="1:1" ht="15.5" x14ac:dyDescent="0.25">
      <c r="A61" s="42" t="s">
        <v>96</v>
      </c>
    </row>
    <row r="62" spans="1:1" ht="15.5" x14ac:dyDescent="0.25">
      <c r="A62" s="45" t="s">
        <v>97</v>
      </c>
    </row>
    <row r="63" spans="1:1" ht="15.5" x14ac:dyDescent="0.25">
      <c r="A63" s="47"/>
    </row>
    <row r="64" spans="1:1" ht="15.5" x14ac:dyDescent="0.25">
      <c r="A64" s="43"/>
    </row>
    <row r="65" spans="1:1" x14ac:dyDescent="0.25">
      <c r="A65" s="37"/>
    </row>
    <row r="66" spans="1:1" ht="16.5" x14ac:dyDescent="0.25">
      <c r="A66" s="41" t="s">
        <v>98</v>
      </c>
    </row>
    <row r="67" spans="1:1" ht="15.5" x14ac:dyDescent="0.25">
      <c r="A67" s="43"/>
    </row>
    <row r="68" spans="1:1" ht="15" x14ac:dyDescent="0.25">
      <c r="A68" s="48" t="s">
        <v>99</v>
      </c>
    </row>
    <row r="69" spans="1:1" ht="15.5" x14ac:dyDescent="0.25">
      <c r="A69" s="42"/>
    </row>
    <row r="70" spans="1:1" ht="15.5" x14ac:dyDescent="0.25">
      <c r="A70" s="42" t="s">
        <v>100</v>
      </c>
    </row>
    <row r="71" spans="1:1" ht="15.5" x14ac:dyDescent="0.25">
      <c r="A71" s="42" t="s">
        <v>101</v>
      </c>
    </row>
    <row r="72" spans="1:1" ht="15.5" x14ac:dyDescent="0.25">
      <c r="A72" s="45" t="s">
        <v>102</v>
      </c>
    </row>
    <row r="73" spans="1:1" ht="15.5" x14ac:dyDescent="0.25">
      <c r="A73" s="42" t="s">
        <v>103</v>
      </c>
    </row>
    <row r="74" spans="1:1" ht="15.5" x14ac:dyDescent="0.25">
      <c r="A74" s="42" t="s">
        <v>104</v>
      </c>
    </row>
    <row r="75" spans="1:1" ht="15.5" x14ac:dyDescent="0.25">
      <c r="A75" s="47"/>
    </row>
    <row r="76" spans="1:1" ht="15.5" x14ac:dyDescent="0.25">
      <c r="A76" s="43" t="s">
        <v>105</v>
      </c>
    </row>
    <row r="77" spans="1:1" ht="15.5" x14ac:dyDescent="0.25">
      <c r="A77" s="43" t="s">
        <v>106</v>
      </c>
    </row>
    <row r="78" spans="1:1" ht="15.5" x14ac:dyDescent="0.25">
      <c r="A78" s="42" t="s">
        <v>107</v>
      </c>
    </row>
    <row r="79" spans="1:1" ht="31" x14ac:dyDescent="0.25">
      <c r="A79" s="42" t="s">
        <v>108</v>
      </c>
    </row>
    <row r="80" spans="1:1" ht="17.5" x14ac:dyDescent="0.25">
      <c r="A80" s="40" t="s">
        <v>109</v>
      </c>
    </row>
    <row r="81" spans="1:1" ht="46.5" x14ac:dyDescent="0.25">
      <c r="A81" s="43" t="s">
        <v>110</v>
      </c>
    </row>
    <row r="82" spans="1:1" x14ac:dyDescent="0.25">
      <c r="A82" s="37"/>
    </row>
    <row r="83" spans="1:1" ht="17.5" x14ac:dyDescent="0.25">
      <c r="A83" s="40" t="s">
        <v>111</v>
      </c>
    </row>
    <row r="84" spans="1:1" ht="31" x14ac:dyDescent="0.25">
      <c r="A84" s="43" t="s">
        <v>112</v>
      </c>
    </row>
    <row r="85" spans="1:1" ht="15.5" x14ac:dyDescent="0.25">
      <c r="A85" s="43"/>
    </row>
    <row r="86" spans="1:1" ht="15.5" x14ac:dyDescent="0.25">
      <c r="A86" s="43" t="s">
        <v>113</v>
      </c>
    </row>
    <row r="87" spans="1:1" ht="15.5" x14ac:dyDescent="0.25">
      <c r="A87" s="36"/>
    </row>
    <row r="88" spans="1:1" ht="15.5" x14ac:dyDescent="0.25">
      <c r="A88" s="36"/>
    </row>
  </sheetData>
  <pageMargins left="0.75" right="0.75" top="1" bottom="1" header="0.5" footer="0.5"/>
  <pageSetup orientation="portrait" horizontalDpi="1200" verticalDpi="1200"/>
  <headerFooter alignWithMargins="0">
    <oddFooter>&amp;LCapital One Confidential</oddFoot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84"/>
  <sheetViews>
    <sheetView workbookViewId="0">
      <selection activeCell="A5" sqref="A5"/>
    </sheetView>
  </sheetViews>
  <sheetFormatPr defaultColWidth="8.7265625" defaultRowHeight="12.5" x14ac:dyDescent="0.25"/>
  <cols>
    <col min="1" max="1" width="98" customWidth="1"/>
    <col min="2" max="256" width="11.453125" customWidth="1"/>
  </cols>
  <sheetData>
    <row r="1" spans="1:1" ht="29.5" x14ac:dyDescent="0.25">
      <c r="A1" s="75" t="s">
        <v>114</v>
      </c>
    </row>
    <row r="2" spans="1:1" ht="28" x14ac:dyDescent="0.25">
      <c r="A2" s="76" t="s">
        <v>277</v>
      </c>
    </row>
    <row r="3" spans="1:1" ht="14" x14ac:dyDescent="0.25">
      <c r="A3" s="76"/>
    </row>
    <row r="4" spans="1:1" ht="42" x14ac:dyDescent="0.25">
      <c r="A4" s="76" t="s">
        <v>278</v>
      </c>
    </row>
    <row r="5" spans="1:1" ht="14" x14ac:dyDescent="0.25">
      <c r="A5" s="76"/>
    </row>
    <row r="6" spans="1:1" ht="42" x14ac:dyDescent="0.25">
      <c r="A6" s="76" t="s">
        <v>279</v>
      </c>
    </row>
    <row r="7" spans="1:1" ht="14" x14ac:dyDescent="0.25">
      <c r="A7" s="76"/>
    </row>
    <row r="8" spans="1:1" ht="28" x14ac:dyDescent="0.25">
      <c r="A8" s="76" t="s">
        <v>280</v>
      </c>
    </row>
    <row r="9" spans="1:1" ht="14" x14ac:dyDescent="0.25">
      <c r="A9" s="76"/>
    </row>
    <row r="10" spans="1:1" ht="14" x14ac:dyDescent="0.25">
      <c r="A10" s="76" t="s">
        <v>281</v>
      </c>
    </row>
    <row r="11" spans="1:1" ht="14" x14ac:dyDescent="0.25">
      <c r="A11" s="76"/>
    </row>
    <row r="12" spans="1:1" ht="14" x14ac:dyDescent="0.25">
      <c r="A12" s="76" t="s">
        <v>282</v>
      </c>
    </row>
    <row r="13" spans="1:1" ht="14" x14ac:dyDescent="0.25">
      <c r="A13" s="76"/>
    </row>
    <row r="14" spans="1:1" ht="28" x14ac:dyDescent="0.25">
      <c r="A14" s="76" t="s">
        <v>283</v>
      </c>
    </row>
    <row r="15" spans="1:1" ht="14" x14ac:dyDescent="0.25">
      <c r="A15" s="76"/>
    </row>
    <row r="16" spans="1:1" ht="14" x14ac:dyDescent="0.25">
      <c r="A16" s="76" t="s">
        <v>284</v>
      </c>
    </row>
    <row r="17" spans="1:1" ht="14" x14ac:dyDescent="0.25">
      <c r="A17" s="76"/>
    </row>
    <row r="18" spans="1:1" ht="28" x14ac:dyDescent="0.25">
      <c r="A18" s="76" t="s">
        <v>285</v>
      </c>
    </row>
    <row r="19" spans="1:1" ht="14" x14ac:dyDescent="0.25">
      <c r="A19" s="76" t="s">
        <v>286</v>
      </c>
    </row>
    <row r="20" spans="1:1" ht="14" x14ac:dyDescent="0.25">
      <c r="A20" s="76" t="s">
        <v>287</v>
      </c>
    </row>
    <row r="21" spans="1:1" ht="28" x14ac:dyDescent="0.25">
      <c r="A21" s="76" t="s">
        <v>288</v>
      </c>
    </row>
    <row r="22" spans="1:1" ht="14" x14ac:dyDescent="0.25">
      <c r="A22" s="77" t="s">
        <v>289</v>
      </c>
    </row>
    <row r="23" spans="1:1" ht="14" x14ac:dyDescent="0.25">
      <c r="A23" s="77" t="s">
        <v>290</v>
      </c>
    </row>
    <row r="24" spans="1:1" ht="14" x14ac:dyDescent="0.25">
      <c r="A24" s="77" t="s">
        <v>291</v>
      </c>
    </row>
    <row r="25" spans="1:1" ht="14" x14ac:dyDescent="0.25">
      <c r="A25" s="77" t="s">
        <v>292</v>
      </c>
    </row>
    <row r="26" spans="1:1" ht="14" x14ac:dyDescent="0.25">
      <c r="A26" s="77" t="s">
        <v>293</v>
      </c>
    </row>
    <row r="27" spans="1:1" ht="14" x14ac:dyDescent="0.25">
      <c r="A27" s="77" t="s">
        <v>294</v>
      </c>
    </row>
    <row r="28" spans="1:1" ht="14" x14ac:dyDescent="0.25">
      <c r="A28" s="77" t="s">
        <v>295</v>
      </c>
    </row>
    <row r="29" spans="1:1" ht="14" x14ac:dyDescent="0.25">
      <c r="A29" s="77" t="s">
        <v>296</v>
      </c>
    </row>
    <row r="30" spans="1:1" ht="42" x14ac:dyDescent="0.25">
      <c r="A30" s="76" t="s">
        <v>297</v>
      </c>
    </row>
    <row r="31" spans="1:1" ht="14" x14ac:dyDescent="0.25">
      <c r="A31" s="76"/>
    </row>
    <row r="32" spans="1:1" ht="42" x14ac:dyDescent="0.25">
      <c r="A32" s="76" t="s">
        <v>298</v>
      </c>
    </row>
    <row r="33" spans="1:1" ht="14" x14ac:dyDescent="0.25">
      <c r="A33" s="76"/>
    </row>
    <row r="34" spans="1:1" ht="14" x14ac:dyDescent="0.25">
      <c r="A34" s="76" t="s">
        <v>299</v>
      </c>
    </row>
    <row r="35" spans="1:1" ht="14" x14ac:dyDescent="0.25">
      <c r="A35" s="76"/>
    </row>
    <row r="36" spans="1:1" ht="14" x14ac:dyDescent="0.25">
      <c r="A36" s="76" t="s">
        <v>300</v>
      </c>
    </row>
    <row r="37" spans="1:1" ht="14" x14ac:dyDescent="0.25">
      <c r="A37" s="76" t="s">
        <v>301</v>
      </c>
    </row>
    <row r="38" spans="1:1" ht="14" x14ac:dyDescent="0.25">
      <c r="A38" s="76" t="s">
        <v>302</v>
      </c>
    </row>
    <row r="39" spans="1:1" ht="14" x14ac:dyDescent="0.25">
      <c r="A39" s="76" t="s">
        <v>303</v>
      </c>
    </row>
    <row r="40" spans="1:1" ht="14" x14ac:dyDescent="0.25">
      <c r="A40" s="76" t="s">
        <v>304</v>
      </c>
    </row>
    <row r="41" spans="1:1" ht="14" x14ac:dyDescent="0.25">
      <c r="A41" s="76" t="s">
        <v>305</v>
      </c>
    </row>
    <row r="42" spans="1:1" ht="28" x14ac:dyDescent="0.25">
      <c r="A42" s="78" t="s">
        <v>306</v>
      </c>
    </row>
    <row r="43" spans="1:1" ht="28" x14ac:dyDescent="0.25">
      <c r="A43" s="76" t="s">
        <v>307</v>
      </c>
    </row>
    <row r="44" spans="1:1" ht="14" x14ac:dyDescent="0.25">
      <c r="A44" s="76" t="s">
        <v>308</v>
      </c>
    </row>
    <row r="45" spans="1:1" ht="14" x14ac:dyDescent="0.25">
      <c r="A45" s="76" t="s">
        <v>309</v>
      </c>
    </row>
    <row r="46" spans="1:1" ht="14" x14ac:dyDescent="0.25">
      <c r="A46" s="76" t="s">
        <v>310</v>
      </c>
    </row>
    <row r="47" spans="1:1" ht="14" x14ac:dyDescent="0.25">
      <c r="A47" s="76" t="s">
        <v>311</v>
      </c>
    </row>
    <row r="48" spans="1:1" ht="14" x14ac:dyDescent="0.25">
      <c r="A48" s="76"/>
    </row>
    <row r="49" spans="1:1" ht="14" x14ac:dyDescent="0.25">
      <c r="A49" s="76" t="s">
        <v>312</v>
      </c>
    </row>
    <row r="50" spans="1:1" ht="42" x14ac:dyDescent="0.25">
      <c r="A50" s="76" t="s">
        <v>313</v>
      </c>
    </row>
    <row r="51" spans="1:1" ht="14" x14ac:dyDescent="0.25">
      <c r="A51" s="76"/>
    </row>
    <row r="52" spans="1:1" ht="14" x14ac:dyDescent="0.25">
      <c r="A52" s="76" t="s">
        <v>314</v>
      </c>
    </row>
    <row r="53" spans="1:1" ht="14" x14ac:dyDescent="0.25">
      <c r="A53" s="76" t="s">
        <v>315</v>
      </c>
    </row>
    <row r="54" spans="1:1" ht="14" x14ac:dyDescent="0.25">
      <c r="A54" s="76" t="s">
        <v>316</v>
      </c>
    </row>
    <row r="55" spans="1:1" ht="14" x14ac:dyDescent="0.25">
      <c r="A55" s="76" t="s">
        <v>317</v>
      </c>
    </row>
    <row r="56" spans="1:1" ht="14" x14ac:dyDescent="0.25">
      <c r="A56" s="76" t="s">
        <v>318</v>
      </c>
    </row>
    <row r="57" spans="1:1" ht="28" x14ac:dyDescent="0.25">
      <c r="A57" s="76" t="s">
        <v>319</v>
      </c>
    </row>
    <row r="58" spans="1:1" ht="14" x14ac:dyDescent="0.25">
      <c r="A58" s="76" t="s">
        <v>320</v>
      </c>
    </row>
    <row r="59" spans="1:1" ht="42" x14ac:dyDescent="0.25">
      <c r="A59" s="76" t="s">
        <v>321</v>
      </c>
    </row>
    <row r="60" spans="1:1" ht="14" x14ac:dyDescent="0.25">
      <c r="A60" s="76"/>
    </row>
    <row r="61" spans="1:1" ht="28" x14ac:dyDescent="0.25">
      <c r="A61" s="76" t="s">
        <v>322</v>
      </c>
    </row>
    <row r="62" spans="1:1" ht="14" x14ac:dyDescent="0.25">
      <c r="A62" s="76"/>
    </row>
    <row r="63" spans="1:1" ht="14" x14ac:dyDescent="0.25">
      <c r="A63" s="76" t="s">
        <v>323</v>
      </c>
    </row>
    <row r="64" spans="1:1" ht="42.5" x14ac:dyDescent="0.25">
      <c r="A64" s="76" t="s">
        <v>324</v>
      </c>
    </row>
    <row r="65" spans="1:1" ht="56.5" x14ac:dyDescent="0.25">
      <c r="A65" s="76" t="s">
        <v>325</v>
      </c>
    </row>
    <row r="66" spans="1:1" ht="42.5" x14ac:dyDescent="0.25">
      <c r="A66" s="76" t="s">
        <v>326</v>
      </c>
    </row>
    <row r="67" spans="1:1" ht="14" x14ac:dyDescent="0.25">
      <c r="A67" s="79"/>
    </row>
    <row r="68" spans="1:1" ht="14" x14ac:dyDescent="0.25">
      <c r="A68" s="79" t="s">
        <v>327</v>
      </c>
    </row>
    <row r="69" spans="1:1" ht="14" x14ac:dyDescent="0.25">
      <c r="A69" s="79"/>
    </row>
    <row r="70" spans="1:1" ht="25" x14ac:dyDescent="0.25">
      <c r="A70" s="80" t="s">
        <v>328</v>
      </c>
    </row>
    <row r="71" spans="1:1" ht="14" x14ac:dyDescent="0.25">
      <c r="A71" s="79"/>
    </row>
    <row r="72" spans="1:1" ht="28" x14ac:dyDescent="0.25">
      <c r="A72" s="79" t="s">
        <v>329</v>
      </c>
    </row>
    <row r="73" spans="1:1" ht="14" x14ac:dyDescent="0.25">
      <c r="A73" s="79"/>
    </row>
    <row r="74" spans="1:1" ht="56" x14ac:dyDescent="0.25">
      <c r="A74" s="79" t="s">
        <v>337</v>
      </c>
    </row>
    <row r="75" spans="1:1" ht="14" x14ac:dyDescent="0.25">
      <c r="A75" s="79"/>
    </row>
    <row r="76" spans="1:1" ht="42" x14ac:dyDescent="0.25">
      <c r="A76" s="79" t="s">
        <v>330</v>
      </c>
    </row>
    <row r="77" spans="1:1" ht="28" x14ac:dyDescent="0.25">
      <c r="A77" s="79" t="s">
        <v>331</v>
      </c>
    </row>
    <row r="78" spans="1:1" ht="14" x14ac:dyDescent="0.25">
      <c r="A78" s="79" t="s">
        <v>332</v>
      </c>
    </row>
    <row r="79" spans="1:1" ht="28" x14ac:dyDescent="0.25">
      <c r="A79" s="79" t="s">
        <v>333</v>
      </c>
    </row>
    <row r="80" spans="1:1" ht="28" x14ac:dyDescent="0.25">
      <c r="A80" s="79" t="s">
        <v>334</v>
      </c>
    </row>
    <row r="81" spans="1:1" ht="28" x14ac:dyDescent="0.25">
      <c r="A81" s="79" t="s">
        <v>335</v>
      </c>
    </row>
    <row r="82" spans="1:1" ht="42" x14ac:dyDescent="0.25">
      <c r="A82" s="79" t="s">
        <v>336</v>
      </c>
    </row>
    <row r="83" spans="1:1" ht="14" x14ac:dyDescent="0.25">
      <c r="A83" s="79"/>
    </row>
    <row r="84" spans="1:1" ht="56" x14ac:dyDescent="0.25">
      <c r="A84" s="79" t="s">
        <v>338</v>
      </c>
    </row>
  </sheetData>
  <hyperlinks>
    <hyperlink ref="A70" r:id="rId1" display="https://knowledgelink.kdc.capitalone.com/kl/livelink.exe?func=ll&amp;objId=1033566654&amp;objAction=browse"/>
  </hyperlinks>
  <pageMargins left="0.75" right="0.75" top="1" bottom="1" header="0.5" footer="0.5"/>
  <pageSetup orientation="portrait" horizontalDpi="4294967292" verticalDpi="4294967292" r:id="rId2"/>
  <headerFooter alignWithMargins="0">
    <oddFooter>&amp;LCapital One Confidential</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27"/>
  <sheetViews>
    <sheetView workbookViewId="0"/>
  </sheetViews>
  <sheetFormatPr defaultColWidth="8.7265625" defaultRowHeight="12.5" x14ac:dyDescent="0.25"/>
  <cols>
    <col min="1" max="1" width="25.7265625" bestFit="1" customWidth="1"/>
    <col min="2" max="2" width="48.7265625" customWidth="1"/>
    <col min="6" max="6" width="19.1796875" bestFit="1" customWidth="1"/>
    <col min="8" max="8" width="13.81640625" customWidth="1"/>
    <col min="9" max="9" width="12.81640625" customWidth="1"/>
  </cols>
  <sheetData>
    <row r="1" spans="1:11" s="2" customFormat="1" ht="13" x14ac:dyDescent="0.3">
      <c r="A1" s="2" t="s">
        <v>5</v>
      </c>
      <c r="B1" s="2" t="s">
        <v>6</v>
      </c>
      <c r="F1" s="2" t="s">
        <v>116</v>
      </c>
      <c r="H1" s="2" t="s">
        <v>219</v>
      </c>
    </row>
    <row r="2" spans="1:11" ht="14.5" x14ac:dyDescent="0.35">
      <c r="A2" t="s">
        <v>117</v>
      </c>
      <c r="B2" t="s">
        <v>20</v>
      </c>
      <c r="F2" s="68" t="s">
        <v>231</v>
      </c>
    </row>
    <row r="3" spans="1:11" x14ac:dyDescent="0.25">
      <c r="A3" t="s">
        <v>133</v>
      </c>
      <c r="B3" t="s">
        <v>7</v>
      </c>
      <c r="F3" s="69" t="s">
        <v>230</v>
      </c>
      <c r="H3" t="s">
        <v>227</v>
      </c>
    </row>
    <row r="4" spans="1:11" x14ac:dyDescent="0.25">
      <c r="A4" t="s">
        <v>119</v>
      </c>
      <c r="B4" t="s">
        <v>7</v>
      </c>
      <c r="F4" s="69" t="s">
        <v>273</v>
      </c>
    </row>
    <row r="5" spans="1:11" ht="14.5" x14ac:dyDescent="0.35">
      <c r="A5" t="s">
        <v>143</v>
      </c>
      <c r="B5" t="s">
        <v>141</v>
      </c>
      <c r="F5" s="68" t="s">
        <v>232</v>
      </c>
    </row>
    <row r="6" spans="1:11" x14ac:dyDescent="0.25">
      <c r="A6" t="s">
        <v>144</v>
      </c>
      <c r="B6" t="s">
        <v>142</v>
      </c>
      <c r="F6" s="69" t="s">
        <v>228</v>
      </c>
    </row>
    <row r="7" spans="1:11" x14ac:dyDescent="0.25">
      <c r="A7" t="s">
        <v>118</v>
      </c>
      <c r="B7" t="s">
        <v>8</v>
      </c>
      <c r="F7" s="69" t="s">
        <v>274</v>
      </c>
    </row>
    <row r="8" spans="1:11" ht="14.5" x14ac:dyDescent="0.35">
      <c r="A8" t="s">
        <v>120</v>
      </c>
      <c r="B8" t="s">
        <v>9</v>
      </c>
      <c r="F8" s="68" t="s">
        <v>227</v>
      </c>
    </row>
    <row r="9" spans="1:11" x14ac:dyDescent="0.25">
      <c r="A9" t="s">
        <v>130</v>
      </c>
      <c r="B9" t="s">
        <v>10</v>
      </c>
      <c r="F9" s="69" t="s">
        <v>229</v>
      </c>
    </row>
    <row r="10" spans="1:11" x14ac:dyDescent="0.25">
      <c r="A10" t="s">
        <v>131</v>
      </c>
      <c r="B10" t="s">
        <v>11</v>
      </c>
      <c r="F10" s="69" t="s">
        <v>275</v>
      </c>
    </row>
    <row r="11" spans="1:11" ht="14.5" x14ac:dyDescent="0.35">
      <c r="A11" t="s">
        <v>121</v>
      </c>
      <c r="B11" t="s">
        <v>12</v>
      </c>
      <c r="F11" s="68" t="s">
        <v>233</v>
      </c>
    </row>
    <row r="12" spans="1:11" x14ac:dyDescent="0.25">
      <c r="A12" t="s">
        <v>132</v>
      </c>
      <c r="B12" t="s">
        <v>13</v>
      </c>
      <c r="F12" s="69" t="s">
        <v>276</v>
      </c>
    </row>
    <row r="13" spans="1:11" x14ac:dyDescent="0.25">
      <c r="A13" t="s">
        <v>122</v>
      </c>
      <c r="B13" t="s">
        <v>14</v>
      </c>
    </row>
    <row r="14" spans="1:11" ht="14.5" x14ac:dyDescent="0.35">
      <c r="A14" t="s">
        <v>123</v>
      </c>
      <c r="B14" t="s">
        <v>15</v>
      </c>
      <c r="K14" s="68"/>
    </row>
    <row r="15" spans="1:11" x14ac:dyDescent="0.25">
      <c r="A15" t="s">
        <v>124</v>
      </c>
      <c r="B15" t="s">
        <v>16</v>
      </c>
      <c r="K15" s="69"/>
    </row>
    <row r="16" spans="1:11" x14ac:dyDescent="0.25">
      <c r="A16" t="s">
        <v>125</v>
      </c>
      <c r="B16" t="s">
        <v>17</v>
      </c>
      <c r="K16" s="69"/>
    </row>
    <row r="17" spans="1:12" ht="14.5" x14ac:dyDescent="0.35">
      <c r="A17" t="s">
        <v>126</v>
      </c>
      <c r="B17" t="s">
        <v>18</v>
      </c>
      <c r="K17" s="68"/>
      <c r="L17" s="68"/>
    </row>
    <row r="18" spans="1:12" x14ac:dyDescent="0.25">
      <c r="A18" t="s">
        <v>127</v>
      </c>
      <c r="B18" t="s">
        <v>19</v>
      </c>
      <c r="K18" s="69"/>
      <c r="L18" s="69"/>
    </row>
    <row r="19" spans="1:12" x14ac:dyDescent="0.25">
      <c r="K19" s="69"/>
      <c r="L19" s="69"/>
    </row>
    <row r="20" spans="1:12" ht="14.5" x14ac:dyDescent="0.35">
      <c r="K20" s="68"/>
      <c r="L20" s="68"/>
    </row>
    <row r="21" spans="1:12" x14ac:dyDescent="0.25">
      <c r="K21" s="69"/>
      <c r="L21" s="69"/>
    </row>
    <row r="22" spans="1:12" x14ac:dyDescent="0.25">
      <c r="K22" s="69"/>
      <c r="L22" s="69"/>
    </row>
    <row r="23" spans="1:12" ht="14.5" x14ac:dyDescent="0.35">
      <c r="K23" s="68"/>
      <c r="L23" s="68"/>
    </row>
    <row r="24" spans="1:12" x14ac:dyDescent="0.25">
      <c r="K24" s="69"/>
      <c r="L24" s="69"/>
    </row>
    <row r="25" spans="1:12" x14ac:dyDescent="0.25">
      <c r="L25" s="69"/>
    </row>
    <row r="26" spans="1:12" ht="14.5" x14ac:dyDescent="0.35">
      <c r="L26" s="68"/>
    </row>
    <row r="27" spans="1:12" x14ac:dyDescent="0.25">
      <c r="L27" s="69"/>
    </row>
  </sheetData>
  <phoneticPr fontId="3" type="noConversion"/>
  <pageMargins left="0.75" right="0.75" top="1" bottom="1" header="0.5" footer="0.5"/>
  <pageSetup orientation="portrait" r:id="rId1"/>
  <headerFooter alignWithMargins="0">
    <oddFooter>&amp;LCapital One Confidential</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5"/>
  <sheetViews>
    <sheetView workbookViewId="0"/>
  </sheetViews>
  <sheetFormatPr defaultColWidth="8.7265625" defaultRowHeight="12.5" x14ac:dyDescent="0.25"/>
  <cols>
    <col min="1" max="1" width="29" bestFit="1" customWidth="1"/>
    <col min="2" max="2" width="12.453125" customWidth="1"/>
    <col min="3" max="3" width="20.453125" customWidth="1"/>
    <col min="4" max="4" width="3.1796875" customWidth="1"/>
    <col min="6" max="6" width="13.453125" customWidth="1"/>
    <col min="7" max="7" width="18" customWidth="1"/>
    <col min="8" max="8" width="3.453125" customWidth="1"/>
    <col min="9" max="9" width="10.7265625" customWidth="1"/>
    <col min="11" max="11" width="11.453125" customWidth="1"/>
    <col min="26" max="26" width="11" customWidth="1"/>
  </cols>
  <sheetData>
    <row r="1" spans="1:11" ht="13" x14ac:dyDescent="0.3">
      <c r="A1" s="32" t="s">
        <v>377</v>
      </c>
    </row>
    <row r="2" spans="1:11" ht="13" x14ac:dyDescent="0.3">
      <c r="A2" s="31" t="s">
        <v>21</v>
      </c>
      <c r="I2" s="1"/>
      <c r="J2" s="1"/>
      <c r="K2" s="1"/>
    </row>
    <row r="3" spans="1:11" ht="13" x14ac:dyDescent="0.3">
      <c r="A3" s="30">
        <v>42830</v>
      </c>
    </row>
    <row r="4" spans="1:11" ht="13" x14ac:dyDescent="0.3">
      <c r="A4" s="29" t="s">
        <v>217</v>
      </c>
    </row>
    <row r="5" spans="1:11" ht="13" x14ac:dyDescent="0.3">
      <c r="A5" s="29" t="s">
        <v>234</v>
      </c>
    </row>
  </sheetData>
  <phoneticPr fontId="3" type="noConversion"/>
  <pageMargins left="0.75" right="0.75" top="1" bottom="1" header="0.5" footer="0.5"/>
  <pageSetup orientation="landscape"/>
  <headerFooter alignWithMargins="0">
    <oddFooter>&amp;LCapital One Confidential</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1"/>
  <sheetViews>
    <sheetView workbookViewId="0"/>
  </sheetViews>
  <sheetFormatPr defaultRowHeight="12.5" x14ac:dyDescent="0.25"/>
  <cols>
    <col min="1" max="3" width="60.7265625" customWidth="1"/>
  </cols>
  <sheetData>
    <row r="1" spans="1:3" x14ac:dyDescent="0.25">
      <c r="A1" t="s">
        <v>235</v>
      </c>
    </row>
    <row r="2" spans="1:3" x14ac:dyDescent="0.25">
      <c r="A2" t="s">
        <v>236</v>
      </c>
    </row>
    <row r="3" spans="1:3" x14ac:dyDescent="0.25">
      <c r="A3" t="s">
        <v>237</v>
      </c>
    </row>
    <row r="4" spans="1:3" x14ac:dyDescent="0.25">
      <c r="A4" t="s">
        <v>238</v>
      </c>
    </row>
    <row r="6" spans="1:3" x14ac:dyDescent="0.25">
      <c r="A6" t="s">
        <v>0</v>
      </c>
      <c r="B6" t="s">
        <v>2</v>
      </c>
      <c r="C6" t="s">
        <v>22</v>
      </c>
    </row>
    <row r="7" spans="1:3" x14ac:dyDescent="0.25">
      <c r="A7" t="s">
        <v>249</v>
      </c>
      <c r="B7" t="s">
        <v>250</v>
      </c>
      <c r="C7" t="s">
        <v>252</v>
      </c>
    </row>
    <row r="8" spans="1:3" x14ac:dyDescent="0.25">
      <c r="A8" t="s">
        <v>270</v>
      </c>
      <c r="B8" t="s">
        <v>258</v>
      </c>
      <c r="C8" t="s">
        <v>259</v>
      </c>
    </row>
    <row r="9" spans="1:3" x14ac:dyDescent="0.25">
      <c r="A9" t="s">
        <v>260</v>
      </c>
      <c r="B9" t="s">
        <v>261</v>
      </c>
      <c r="C9" t="s">
        <v>262</v>
      </c>
    </row>
    <row r="10" spans="1:3" x14ac:dyDescent="0.25">
      <c r="A10" t="s">
        <v>222</v>
      </c>
      <c r="B10" t="s">
        <v>266</v>
      </c>
      <c r="C10" t="s">
        <v>252</v>
      </c>
    </row>
    <row r="11" spans="1:3" x14ac:dyDescent="0.25">
      <c r="A11" t="s">
        <v>260</v>
      </c>
      <c r="B11" t="s">
        <v>226</v>
      </c>
      <c r="C11" t="s">
        <v>259</v>
      </c>
    </row>
  </sheetData>
  <pageMargins left="0.7" right="0.7" top="0.75" bottom="0.75" header="0.3" footer="0.5"/>
  <pageSetup orientation="portrait" verticalDpi="0" r:id="rId1"/>
  <headerFooter>
    <oddFooter>&amp;LCapital One Confidential</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6"/>
  <sheetViews>
    <sheetView workbookViewId="0"/>
  </sheetViews>
  <sheetFormatPr defaultRowHeight="12.5" x14ac:dyDescent="0.25"/>
  <sheetData>
    <row r="1" spans="1:7" ht="50" x14ac:dyDescent="0.25">
      <c r="A1" s="37" t="s">
        <v>244</v>
      </c>
      <c r="B1" t="s">
        <v>240</v>
      </c>
      <c r="C1" t="s">
        <v>241</v>
      </c>
      <c r="D1" t="s">
        <v>240</v>
      </c>
      <c r="E1" t="s">
        <v>242</v>
      </c>
      <c r="F1" t="s">
        <v>243</v>
      </c>
      <c r="G1" t="s">
        <v>242</v>
      </c>
    </row>
    <row r="2" spans="1:7" x14ac:dyDescent="0.25">
      <c r="A2" t="s">
        <v>245</v>
      </c>
      <c r="B2" t="s">
        <v>246</v>
      </c>
      <c r="C2" t="s">
        <v>247</v>
      </c>
      <c r="D2">
        <v>24</v>
      </c>
      <c r="F2" t="s">
        <v>248</v>
      </c>
    </row>
    <row r="4" spans="1:7" x14ac:dyDescent="0.25">
      <c r="A4" t="s">
        <v>218</v>
      </c>
      <c r="B4" t="s">
        <v>218</v>
      </c>
    </row>
    <row r="5" spans="1:7" x14ac:dyDescent="0.25">
      <c r="A5" t="s">
        <v>251</v>
      </c>
      <c r="B5">
        <v>8888</v>
      </c>
    </row>
    <row r="7" spans="1:7" x14ac:dyDescent="0.25">
      <c r="A7" t="s">
        <v>253</v>
      </c>
      <c r="B7" t="s">
        <v>254</v>
      </c>
    </row>
    <row r="8" spans="1:7" x14ac:dyDescent="0.25">
      <c r="B8" t="s">
        <v>255</v>
      </c>
    </row>
    <row r="10" spans="1:7" x14ac:dyDescent="0.25">
      <c r="A10" t="s">
        <v>258</v>
      </c>
      <c r="B10" t="s">
        <v>240</v>
      </c>
      <c r="C10" t="s">
        <v>241</v>
      </c>
      <c r="D10" t="s">
        <v>240</v>
      </c>
      <c r="E10" t="s">
        <v>256</v>
      </c>
      <c r="F10" t="s">
        <v>257</v>
      </c>
      <c r="G10" t="s">
        <v>256</v>
      </c>
    </row>
    <row r="11" spans="1:7" x14ac:dyDescent="0.25">
      <c r="A11" t="s">
        <v>155</v>
      </c>
      <c r="B11">
        <v>443</v>
      </c>
    </row>
    <row r="13" spans="1:7" x14ac:dyDescent="0.25">
      <c r="A13" t="s">
        <v>239</v>
      </c>
      <c r="B13" t="s">
        <v>220</v>
      </c>
    </row>
    <row r="15" spans="1:7" x14ac:dyDescent="0.25">
      <c r="A15" t="s">
        <v>221</v>
      </c>
      <c r="B15" t="s">
        <v>221</v>
      </c>
    </row>
    <row r="16" spans="1:7" x14ac:dyDescent="0.25">
      <c r="A16" t="s">
        <v>224</v>
      </c>
      <c r="B16">
        <v>23</v>
      </c>
    </row>
    <row r="18" spans="1:6" x14ac:dyDescent="0.25">
      <c r="A18" t="s">
        <v>222</v>
      </c>
      <c r="B18" t="s">
        <v>263</v>
      </c>
      <c r="C18" t="s">
        <v>264</v>
      </c>
      <c r="D18">
        <v>16</v>
      </c>
      <c r="F18" t="s">
        <v>265</v>
      </c>
    </row>
    <row r="20" spans="1:6" x14ac:dyDescent="0.25">
      <c r="A20" t="s">
        <v>223</v>
      </c>
      <c r="B20" t="s">
        <v>223</v>
      </c>
    </row>
    <row r="21" spans="1:6" x14ac:dyDescent="0.25">
      <c r="A21" t="s">
        <v>251</v>
      </c>
      <c r="B21">
        <v>8888</v>
      </c>
    </row>
    <row r="23" spans="1:6" x14ac:dyDescent="0.25">
      <c r="A23" t="s">
        <v>239</v>
      </c>
      <c r="B23" t="s">
        <v>225</v>
      </c>
    </row>
    <row r="25" spans="1:6" x14ac:dyDescent="0.25">
      <c r="A25" t="s">
        <v>226</v>
      </c>
      <c r="B25" t="s">
        <v>267</v>
      </c>
      <c r="C25" t="s">
        <v>268</v>
      </c>
      <c r="D25">
        <v>8</v>
      </c>
      <c r="F25" t="s">
        <v>269</v>
      </c>
    </row>
    <row r="26" spans="1:6" x14ac:dyDescent="0.25">
      <c r="A26" t="s">
        <v>155</v>
      </c>
      <c r="B26">
        <v>443</v>
      </c>
    </row>
  </sheetData>
  <pageMargins left="0.7" right="0.7" top="0.75" bottom="0.75" header="0.3" footer="0.5"/>
  <pageSetup orientation="portrait" verticalDpi="0" r:id="rId1"/>
  <headerFooter>
    <oddFooter>&amp;LCapital One Confidential</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vt:i4>
      </vt:variant>
    </vt:vector>
  </HeadingPairs>
  <TitlesOfParts>
    <vt:vector size="11" baseType="lpstr">
      <vt:lpstr>Connection Details</vt:lpstr>
      <vt:lpstr>Example FMF</vt:lpstr>
      <vt:lpstr>Naming Standard</vt:lpstr>
      <vt:lpstr>Firewall Council CO Guidelines</vt:lpstr>
      <vt:lpstr>CD Definitions</vt:lpstr>
      <vt:lpstr>General</vt:lpstr>
      <vt:lpstr>tufin-export</vt:lpstr>
      <vt:lpstr>calc_sheet</vt:lpstr>
      <vt:lpstr>CMAITEMS</vt:lpstr>
      <vt:lpstr>Def</vt:lpstr>
      <vt:lpstr>General!Print_Area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Firewall Modification Form</dc:title>
  <dc:subject/>
  <dc:creator>oid153</dc:creator>
  <cp:keywords/>
  <dc:description/>
  <cp:lastModifiedBy>Rienton, Fernando</cp:lastModifiedBy>
  <cp:lastPrinted>2016-05-18T15:13:09Z</cp:lastPrinted>
  <dcterms:created xsi:type="dcterms:W3CDTF">1996-10-14T23:33:28Z</dcterms:created>
  <dcterms:modified xsi:type="dcterms:W3CDTF">2017-08-11T13:56:59Z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Classification Level">
    <vt:lpwstr>Confidential</vt:lpwstr>
  </property>
</Properties>
</file>